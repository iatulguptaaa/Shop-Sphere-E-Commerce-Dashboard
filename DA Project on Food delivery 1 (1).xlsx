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Other Project\"/>
    </mc:Choice>
  </mc:AlternateContent>
  <xr:revisionPtr revIDLastSave="0" documentId="13_ncr:1_{49D47876-F677-4E02-9F41-04F516E913F5}" xr6:coauthVersionLast="47" xr6:coauthVersionMax="47" xr10:uidLastSave="{00000000-0000-0000-0000-000000000000}"/>
  <bookViews>
    <workbookView xWindow="-110" yWindow="-110" windowWidth="19420" windowHeight="10300" xr2:uid="{60FF2D95-7A2A-449A-AB31-F6B62E4E898F}"/>
  </bookViews>
  <sheets>
    <sheet name="OnFoodD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4" i="1"/>
  <c r="O4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4" i="1"/>
  <c r="H17" i="2" l="1"/>
  <c r="I17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3" i="2"/>
  <c r="I3" i="2" s="1"/>
  <c r="D5" i="2"/>
  <c r="D6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4" i="2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4" i="1"/>
  <c r="G5" i="1" l="1"/>
  <c r="B5" i="1"/>
  <c r="B6" i="1" l="1"/>
  <c r="G6" i="1"/>
  <c r="B7" i="1" l="1"/>
  <c r="G7" i="1"/>
  <c r="G8" i="1" l="1"/>
  <c r="B8" i="1"/>
  <c r="G9" i="1" l="1"/>
  <c r="B9" i="1"/>
  <c r="G10" i="1" l="1"/>
  <c r="B10" i="1"/>
  <c r="G11" i="1" l="1"/>
  <c r="B11" i="1"/>
  <c r="G12" i="1" l="1"/>
  <c r="B12" i="1"/>
  <c r="G13" i="1" l="1"/>
  <c r="B13" i="1"/>
  <c r="G14" i="1" l="1"/>
  <c r="B14" i="1"/>
  <c r="G15" i="1" l="1"/>
  <c r="B15" i="1"/>
  <c r="G16" i="1" l="1"/>
  <c r="B16" i="1"/>
  <c r="B17" i="1" l="1"/>
  <c r="G17" i="1"/>
  <c r="G18" i="1" l="1"/>
  <c r="B18" i="1"/>
  <c r="G19" i="1" l="1"/>
  <c r="B19" i="1"/>
  <c r="G20" i="1" l="1"/>
  <c r="B20" i="1"/>
  <c r="G21" i="1" l="1"/>
  <c r="B21" i="1"/>
  <c r="G22" i="1" l="1"/>
  <c r="B22" i="1"/>
  <c r="T111" i="1" l="1"/>
  <c r="V111" i="1" s="1"/>
  <c r="G23" i="1"/>
  <c r="B23" i="1"/>
  <c r="G24" i="1" l="1"/>
  <c r="S191" i="1"/>
  <c r="B24" i="1"/>
  <c r="G25" i="1" l="1"/>
  <c r="B25" i="1"/>
  <c r="G26" i="1" l="1"/>
  <c r="B26" i="1"/>
  <c r="T6" i="1"/>
  <c r="V6" i="1" s="1"/>
  <c r="B27" i="1" l="1"/>
  <c r="G27" i="1"/>
  <c r="U6" i="1"/>
  <c r="W6" i="1" s="1"/>
  <c r="U111" i="1"/>
  <c r="W111" i="1" s="1"/>
  <c r="G28" i="1" l="1"/>
  <c r="B28" i="1"/>
  <c r="T54" i="1" l="1"/>
  <c r="V54" i="1" s="1"/>
  <c r="U54" i="1"/>
  <c r="T150" i="1"/>
  <c r="V150" i="1" s="1"/>
  <c r="G29" i="1"/>
  <c r="B29" i="1"/>
  <c r="W54" i="1" l="1"/>
  <c r="U150" i="1"/>
  <c r="W150" i="1" s="1"/>
  <c r="U64" i="1"/>
  <c r="G30" i="1"/>
  <c r="B30" i="1"/>
  <c r="T64" i="1" l="1"/>
  <c r="V64" i="1" s="1"/>
  <c r="W64" i="1" s="1"/>
  <c r="G31" i="1"/>
  <c r="B31" i="1"/>
  <c r="S143" i="1"/>
  <c r="S247" i="1" l="1"/>
  <c r="G32" i="1"/>
  <c r="B32" i="1"/>
  <c r="G33" i="1" l="1"/>
  <c r="B33" i="1"/>
  <c r="T157" i="1"/>
  <c r="V157" i="1" s="1"/>
  <c r="U157" i="1"/>
  <c r="W157" i="1" l="1"/>
  <c r="G34" i="1"/>
  <c r="U68" i="1"/>
  <c r="T68" i="1"/>
  <c r="V68" i="1" s="1"/>
  <c r="B34" i="1"/>
  <c r="W68" i="1" l="1"/>
  <c r="G35" i="1"/>
  <c r="B35" i="1"/>
  <c r="G36" i="1" l="1"/>
  <c r="S153" i="1"/>
  <c r="B36" i="1"/>
  <c r="G37" i="1" l="1"/>
  <c r="B37" i="1"/>
  <c r="T53" i="1"/>
  <c r="V53" i="1" s="1"/>
  <c r="U53" i="1"/>
  <c r="U8" i="1"/>
  <c r="U164" i="1"/>
  <c r="U217" i="1"/>
  <c r="U10" i="1"/>
  <c r="U274" i="1"/>
  <c r="T196" i="1"/>
  <c r="V196" i="1" s="1"/>
  <c r="T8" i="1"/>
  <c r="V8" i="1" s="1"/>
  <c r="U106" i="1"/>
  <c r="U119" i="1"/>
  <c r="T10" i="1"/>
  <c r="V10" i="1" s="1"/>
  <c r="U149" i="1"/>
  <c r="T32" i="1"/>
  <c r="V32" i="1" s="1"/>
  <c r="T217" i="1"/>
  <c r="V217" i="1" s="1"/>
  <c r="T42" i="1"/>
  <c r="V42" i="1" s="1"/>
  <c r="T284" i="1"/>
  <c r="V284" i="1" s="1"/>
  <c r="T244" i="1"/>
  <c r="V244" i="1" s="1"/>
  <c r="U283" i="1"/>
  <c r="T274" i="1"/>
  <c r="V274" i="1" s="1"/>
  <c r="T156" i="1"/>
  <c r="V156" i="1" s="1"/>
  <c r="T106" i="1"/>
  <c r="V106" i="1" s="1"/>
  <c r="U244" i="1"/>
  <c r="T241" i="1"/>
  <c r="V241" i="1" s="1"/>
  <c r="U32" i="1"/>
  <c r="U11" i="1"/>
  <c r="U196" i="1"/>
  <c r="T139" i="1"/>
  <c r="V139" i="1" s="1"/>
  <c r="U139" i="1"/>
  <c r="U246" i="1"/>
  <c r="U284" i="1"/>
  <c r="T283" i="1"/>
  <c r="V283" i="1" s="1"/>
  <c r="T149" i="1"/>
  <c r="V149" i="1" s="1"/>
  <c r="T171" i="1"/>
  <c r="V171" i="1" s="1"/>
  <c r="U171" i="1"/>
  <c r="U156" i="1"/>
  <c r="U173" i="1"/>
  <c r="U42" i="1"/>
  <c r="T246" i="1"/>
  <c r="V246" i="1" s="1"/>
  <c r="U241" i="1"/>
  <c r="W8" i="1" l="1"/>
  <c r="W217" i="1"/>
  <c r="T102" i="1"/>
  <c r="V102" i="1" s="1"/>
  <c r="W246" i="1"/>
  <c r="S290" i="1"/>
  <c r="W32" i="1"/>
  <c r="W106" i="1"/>
  <c r="W274" i="1"/>
  <c r="W139" i="1"/>
  <c r="W284" i="1"/>
  <c r="W10" i="1"/>
  <c r="W156" i="1"/>
  <c r="W53" i="1"/>
  <c r="W42" i="1"/>
  <c r="W149" i="1"/>
  <c r="W171" i="1"/>
  <c r="W196" i="1"/>
  <c r="W244" i="1"/>
  <c r="W283" i="1"/>
  <c r="W241" i="1"/>
  <c r="B38" i="1"/>
  <c r="U222" i="1"/>
  <c r="T222" i="1"/>
  <c r="V222" i="1" s="1"/>
  <c r="G38" i="1"/>
  <c r="U61" i="1"/>
  <c r="U135" i="1"/>
  <c r="U163" i="1"/>
  <c r="U250" i="1"/>
  <c r="T163" i="1"/>
  <c r="V163" i="1" s="1"/>
  <c r="T250" i="1"/>
  <c r="V250" i="1" s="1"/>
  <c r="T135" i="1"/>
  <c r="V135" i="1" s="1"/>
  <c r="T61" i="1"/>
  <c r="V61" i="1" s="1"/>
  <c r="T164" i="1"/>
  <c r="V164" i="1" s="1"/>
  <c r="W164" i="1" s="1"/>
  <c r="T119" i="1"/>
  <c r="V119" i="1" s="1"/>
  <c r="W119" i="1" s="1"/>
  <c r="T11" i="1"/>
  <c r="V11" i="1" s="1"/>
  <c r="W11" i="1" s="1"/>
  <c r="T173" i="1"/>
  <c r="V173" i="1" s="1"/>
  <c r="W173" i="1" s="1"/>
  <c r="U102" i="1" l="1"/>
  <c r="W102" i="1" s="1"/>
  <c r="W222" i="1"/>
  <c r="W135" i="1"/>
  <c r="W250" i="1"/>
  <c r="W163" i="1"/>
  <c r="W61" i="1"/>
  <c r="B39" i="1"/>
  <c r="G39" i="1"/>
  <c r="G40" i="1" l="1"/>
  <c r="B40" i="1"/>
  <c r="T227" i="1"/>
  <c r="V227" i="1" s="1"/>
  <c r="U227" i="1"/>
  <c r="W227" i="1" l="1"/>
  <c r="B41" i="1"/>
  <c r="G41" i="1"/>
  <c r="S65" i="1"/>
  <c r="G42" i="1" l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S255" i="1"/>
  <c r="S259" i="1"/>
  <c r="S177" i="1"/>
  <c r="S122" i="1"/>
  <c r="S83" i="1"/>
  <c r="S296" i="1"/>
  <c r="S180" i="1"/>
  <c r="S227" i="1"/>
  <c r="S132" i="1"/>
  <c r="S60" i="1"/>
  <c r="S142" i="1"/>
  <c r="S44" i="1"/>
  <c r="S200" i="1"/>
  <c r="S169" i="1"/>
  <c r="S157" i="1"/>
  <c r="S85" i="1"/>
  <c r="S265" i="1"/>
  <c r="S95" i="1"/>
  <c r="S133" i="1"/>
  <c r="S303" i="1"/>
  <c r="S243" i="1"/>
  <c r="S262" i="1"/>
  <c r="S140" i="1"/>
  <c r="S97" i="1"/>
  <c r="S286" i="1"/>
  <c r="S285" i="1"/>
  <c r="S232" i="1"/>
  <c r="S18" i="1"/>
  <c r="S25" i="1"/>
  <c r="S204" i="1"/>
  <c r="S121" i="1"/>
  <c r="S208" i="1"/>
  <c r="S215" i="1"/>
  <c r="S258" i="1"/>
  <c r="S33" i="1"/>
  <c r="S77" i="1"/>
  <c r="S119" i="1"/>
  <c r="S71" i="1"/>
  <c r="S253" i="1"/>
  <c r="S138" i="1"/>
  <c r="S234" i="1"/>
  <c r="S7" i="1"/>
  <c r="S154" i="1"/>
  <c r="S174" i="1"/>
  <c r="S162" i="1"/>
  <c r="S69" i="1"/>
  <c r="S189" i="1"/>
  <c r="S151" i="1"/>
  <c r="S12" i="1"/>
  <c r="S272" i="1"/>
  <c r="S293" i="1"/>
  <c r="S176" i="1"/>
  <c r="S289" i="1"/>
  <c r="S141" i="1"/>
  <c r="S52" i="1"/>
  <c r="S147" i="1"/>
  <c r="S257" i="1"/>
  <c r="S96" i="1"/>
  <c r="S92" i="1"/>
  <c r="S117" i="1"/>
  <c r="S205" i="1"/>
  <c r="S53" i="1"/>
  <c r="S297" i="1"/>
  <c r="S193" i="1"/>
  <c r="S34" i="1"/>
  <c r="S186" i="1"/>
  <c r="S5" i="1"/>
  <c r="S280" i="1"/>
  <c r="S166" i="1"/>
  <c r="S125" i="1"/>
  <c r="S43" i="1"/>
  <c r="S302" i="1"/>
  <c r="S145" i="1"/>
  <c r="S267" i="1"/>
  <c r="S21" i="1"/>
  <c r="S70" i="1"/>
  <c r="S48" i="1"/>
  <c r="S183" i="1"/>
  <c r="S299" i="1"/>
  <c r="S134" i="1"/>
  <c r="S90" i="1"/>
  <c r="S199" i="1"/>
  <c r="S101" i="1"/>
  <c r="S47" i="1"/>
  <c r="S165" i="1"/>
  <c r="S51" i="1"/>
  <c r="S84" i="1"/>
  <c r="S135" i="1"/>
  <c r="S201" i="1"/>
  <c r="S170" i="1"/>
  <c r="S229" i="1"/>
  <c r="S113" i="1"/>
  <c r="S22" i="1"/>
  <c r="S152" i="1"/>
  <c r="S192" i="1"/>
  <c r="S155" i="1"/>
  <c r="S226" i="1"/>
  <c r="S202" i="1"/>
  <c r="S287" i="1"/>
  <c r="S239" i="1"/>
  <c r="S212" i="1"/>
  <c r="S10" i="1"/>
  <c r="S103" i="1"/>
  <c r="S148" i="1"/>
  <c r="S104" i="1"/>
  <c r="S36" i="1"/>
  <c r="S28" i="1"/>
  <c r="S260" i="1"/>
  <c r="S19" i="1"/>
  <c r="S195" i="1"/>
  <c r="S14" i="1"/>
  <c r="S81" i="1"/>
  <c r="S150" i="1"/>
  <c r="S210" i="1"/>
  <c r="S45" i="1"/>
  <c r="S278" i="1"/>
  <c r="S111" i="1"/>
  <c r="S63" i="1"/>
  <c r="S218" i="1"/>
  <c r="S129" i="1"/>
  <c r="S252" i="1"/>
  <c r="S235" i="1"/>
  <c r="S167" i="1"/>
  <c r="S288" i="1"/>
  <c r="S29" i="1"/>
  <c r="S237" i="1"/>
  <c r="S106" i="1"/>
  <c r="S273" i="1"/>
  <c r="S211" i="1"/>
  <c r="S159" i="1"/>
  <c r="S61" i="1"/>
  <c r="S279" i="1"/>
  <c r="S236" i="1"/>
  <c r="S6" i="1"/>
  <c r="S179" i="1"/>
  <c r="S82" i="1"/>
  <c r="S275" i="1"/>
  <c r="S66" i="1"/>
  <c r="S161" i="1"/>
  <c r="S187" i="1"/>
  <c r="S127" i="1"/>
  <c r="S49" i="1"/>
  <c r="S16" i="1"/>
  <c r="S277" i="1"/>
  <c r="S216" i="1"/>
  <c r="S284" i="1"/>
  <c r="S223" i="1"/>
  <c r="S244" i="1"/>
  <c r="S242" i="1"/>
  <c r="S88" i="1"/>
  <c r="S173" i="1"/>
  <c r="S251" i="1"/>
  <c r="S270" i="1"/>
  <c r="S276" i="1"/>
  <c r="B42" i="1"/>
  <c r="U29" i="1"/>
  <c r="S67" i="1" l="1"/>
  <c r="S295" i="1"/>
  <c r="S74" i="1"/>
  <c r="S230" i="1"/>
  <c r="S79" i="1"/>
  <c r="S300" i="1"/>
  <c r="S264" i="1"/>
  <c r="S271" i="1"/>
  <c r="S72" i="1"/>
  <c r="S213" i="1"/>
  <c r="S282" i="1"/>
  <c r="S221" i="1"/>
  <c r="S98" i="1"/>
  <c r="S198" i="1"/>
  <c r="S100" i="1"/>
  <c r="S116" i="1"/>
  <c r="S114" i="1"/>
  <c r="S118" i="1"/>
  <c r="S197" i="1"/>
  <c r="S123" i="1"/>
  <c r="S46" i="1"/>
  <c r="S238" i="1"/>
  <c r="S62" i="1"/>
  <c r="S245" i="1"/>
  <c r="S89" i="1"/>
  <c r="S11" i="1"/>
  <c r="S291" i="1"/>
  <c r="S185" i="1"/>
  <c r="S4" i="1"/>
  <c r="S8" i="1"/>
  <c r="S163" i="1"/>
  <c r="S171" i="1"/>
  <c r="S261" i="1"/>
  <c r="S55" i="1"/>
  <c r="S220" i="1"/>
  <c r="S75" i="1"/>
  <c r="S160" i="1"/>
  <c r="S292" i="1"/>
  <c r="S128" i="1"/>
  <c r="S24" i="1"/>
  <c r="S225" i="1"/>
  <c r="S256" i="1"/>
  <c r="S246" i="1"/>
  <c r="S254" i="1"/>
  <c r="S41" i="1"/>
  <c r="S250" i="1"/>
  <c r="S248" i="1"/>
  <c r="S158" i="1"/>
  <c r="S184" i="1"/>
  <c r="S190" i="1"/>
  <c r="S58" i="1"/>
  <c r="S50" i="1"/>
  <c r="S91" i="1"/>
  <c r="S164" i="1"/>
  <c r="S294" i="1"/>
  <c r="S269" i="1"/>
  <c r="S203" i="1"/>
  <c r="S231" i="1"/>
  <c r="S42" i="1"/>
  <c r="S209" i="1"/>
  <c r="S214" i="1"/>
  <c r="S39" i="1"/>
  <c r="S172" i="1"/>
  <c r="S126" i="1"/>
  <c r="S13" i="1"/>
  <c r="S76" i="1"/>
  <c r="S136" i="1"/>
  <c r="S109" i="1"/>
  <c r="S156" i="1"/>
  <c r="S37" i="1"/>
  <c r="S115" i="1"/>
  <c r="S182" i="1"/>
  <c r="T29" i="1"/>
  <c r="V29" i="1" s="1"/>
  <c r="W29" i="1" s="1"/>
  <c r="S57" i="1"/>
  <c r="S131" i="1"/>
  <c r="S206" i="1"/>
  <c r="S241" i="1"/>
  <c r="S181" i="1"/>
  <c r="S124" i="1"/>
  <c r="S301" i="1"/>
  <c r="S188" i="1"/>
  <c r="S102" i="1"/>
  <c r="S268" i="1"/>
  <c r="S298" i="1"/>
  <c r="S17" i="1"/>
  <c r="S32" i="1"/>
  <c r="S99" i="1"/>
  <c r="S233" i="1"/>
  <c r="S219" i="1"/>
  <c r="S168" i="1"/>
  <c r="S30" i="1"/>
  <c r="S80" i="1"/>
  <c r="S222" i="1"/>
  <c r="S149" i="1"/>
  <c r="S281" i="1"/>
  <c r="S283" i="1"/>
  <c r="S86" i="1"/>
  <c r="S64" i="1"/>
  <c r="S130" i="1"/>
  <c r="S40" i="1"/>
  <c r="S27" i="1"/>
  <c r="S263" i="1"/>
  <c r="S137" i="1"/>
  <c r="S93" i="1"/>
  <c r="S240" i="1"/>
  <c r="S15" i="1"/>
  <c r="S178" i="1"/>
  <c r="S26" i="1"/>
  <c r="S107" i="1"/>
  <c r="S146" i="1"/>
  <c r="S228" i="1"/>
  <c r="S59" i="1"/>
  <c r="S73" i="1"/>
  <c r="S207" i="1"/>
  <c r="S196" i="1"/>
  <c r="S266" i="1"/>
  <c r="S31" i="1"/>
  <c r="S105" i="1"/>
  <c r="S94" i="1"/>
  <c r="S120" i="1"/>
  <c r="S68" i="1"/>
  <c r="S38" i="1"/>
  <c r="S35" i="1"/>
  <c r="S78" i="1"/>
  <c r="S20" i="1"/>
  <c r="S54" i="1"/>
  <c r="S23" i="1"/>
  <c r="S144" i="1"/>
  <c r="S194" i="1"/>
  <c r="S112" i="1"/>
  <c r="S108" i="1"/>
  <c r="S274" i="1"/>
  <c r="S249" i="1"/>
  <c r="S110" i="1"/>
  <c r="S139" i="1"/>
  <c r="S56" i="1"/>
  <c r="S9" i="1"/>
  <c r="S87" i="1"/>
  <c r="S224" i="1"/>
  <c r="S217" i="1"/>
  <c r="S175" i="1"/>
  <c r="B43" i="1"/>
  <c r="T248" i="1"/>
  <c r="V248" i="1" s="1"/>
  <c r="U248" i="1"/>
  <c r="U288" i="1" l="1"/>
  <c r="T288" i="1"/>
  <c r="V288" i="1" s="1"/>
  <c r="W248" i="1"/>
  <c r="B44" i="1"/>
  <c r="W288" i="1" l="1"/>
  <c r="B45" i="1"/>
  <c r="T40" i="1"/>
  <c r="V40" i="1" s="1"/>
  <c r="U40" i="1"/>
  <c r="U91" i="1"/>
  <c r="T91" i="1"/>
  <c r="V91" i="1" s="1"/>
  <c r="U192" i="1" l="1"/>
  <c r="T192" i="1"/>
  <c r="V192" i="1" s="1"/>
  <c r="W91" i="1"/>
  <c r="W40" i="1"/>
  <c r="B46" i="1"/>
  <c r="W192" i="1" l="1"/>
  <c r="B47" i="1"/>
  <c r="B48" i="1" l="1"/>
  <c r="T210" i="1"/>
  <c r="V210" i="1" s="1"/>
  <c r="T73" i="1"/>
  <c r="V73" i="1" s="1"/>
  <c r="B49" i="1" l="1"/>
  <c r="T235" i="1"/>
  <c r="V235" i="1" s="1"/>
  <c r="T215" i="1"/>
  <c r="V215" i="1" s="1"/>
  <c r="T33" i="1"/>
  <c r="V33" i="1" s="1"/>
  <c r="T176" i="1"/>
  <c r="V176" i="1" s="1"/>
  <c r="T34" i="1"/>
  <c r="V34" i="1" s="1"/>
  <c r="T58" i="1"/>
  <c r="V58" i="1" s="1"/>
  <c r="U120" i="1"/>
  <c r="U176" i="1"/>
  <c r="T294" i="1"/>
  <c r="V294" i="1" s="1"/>
  <c r="U215" i="1"/>
  <c r="T268" i="1"/>
  <c r="V268" i="1" s="1"/>
  <c r="U34" i="1"/>
  <c r="U58" i="1"/>
  <c r="U205" i="1"/>
  <c r="T292" i="1"/>
  <c r="V292" i="1" s="1"/>
  <c r="U294" i="1"/>
  <c r="T204" i="1"/>
  <c r="V204" i="1" s="1"/>
  <c r="U178" i="1"/>
  <c r="U65" i="1"/>
  <c r="U169" i="1"/>
  <c r="T178" i="1"/>
  <c r="V178" i="1" s="1"/>
  <c r="U112" i="1"/>
  <c r="U216" i="1"/>
  <c r="T286" i="1"/>
  <c r="V286" i="1" s="1"/>
  <c r="U286" i="1"/>
  <c r="T95" i="1"/>
  <c r="V95" i="1" s="1"/>
  <c r="T65" i="1"/>
  <c r="V65" i="1" s="1"/>
  <c r="T169" i="1"/>
  <c r="V169" i="1" s="1"/>
  <c r="T205" i="1"/>
  <c r="V205" i="1" s="1"/>
  <c r="T112" i="1"/>
  <c r="V112" i="1" s="1"/>
  <c r="U235" i="1"/>
  <c r="T216" i="1"/>
  <c r="V216" i="1" s="1"/>
  <c r="U292" i="1"/>
  <c r="U95" i="1"/>
  <c r="T120" i="1"/>
  <c r="V120" i="1" s="1"/>
  <c r="U33" i="1"/>
  <c r="T261" i="1"/>
  <c r="V261" i="1" s="1"/>
  <c r="T41" i="1"/>
  <c r="V41" i="1" s="1"/>
  <c r="T198" i="1"/>
  <c r="V198" i="1" s="1"/>
  <c r="U261" i="1"/>
  <c r="U268" i="1"/>
  <c r="U41" i="1"/>
  <c r="U204" i="1"/>
  <c r="U7" i="1"/>
  <c r="U198" i="1"/>
  <c r="U103" i="1"/>
  <c r="T167" i="1"/>
  <c r="V167" i="1" s="1"/>
  <c r="T7" i="1"/>
  <c r="V7" i="1" s="1"/>
  <c r="U242" i="1"/>
  <c r="T242" i="1"/>
  <c r="V242" i="1" s="1"/>
  <c r="U167" i="1"/>
  <c r="U18" i="1"/>
  <c r="T18" i="1"/>
  <c r="V18" i="1" s="1"/>
  <c r="T116" i="1"/>
  <c r="V116" i="1" s="1"/>
  <c r="T21" i="1"/>
  <c r="V21" i="1" s="1"/>
  <c r="U116" i="1"/>
  <c r="U21" i="1"/>
  <c r="T44" i="1"/>
  <c r="V44" i="1" s="1"/>
  <c r="U44" i="1"/>
  <c r="U231" i="1"/>
  <c r="T199" i="1"/>
  <c r="V199" i="1" s="1"/>
  <c r="T51" i="1"/>
  <c r="V51" i="1" s="1"/>
  <c r="T266" i="1"/>
  <c r="V266" i="1" s="1"/>
  <c r="T175" i="1"/>
  <c r="V175" i="1" s="1"/>
  <c r="U233" i="1"/>
  <c r="U301" i="1"/>
  <c r="U296" i="1"/>
  <c r="T280" i="1"/>
  <c r="V280" i="1" s="1"/>
  <c r="U234" i="1"/>
  <c r="T28" i="1"/>
  <c r="V28" i="1" s="1"/>
  <c r="T281" i="1"/>
  <c r="V281" i="1" s="1"/>
  <c r="U266" i="1"/>
  <c r="U28" i="1"/>
  <c r="U99" i="1"/>
  <c r="T181" i="1"/>
  <c r="V181" i="1" s="1"/>
  <c r="U186" i="1"/>
  <c r="U199" i="1"/>
  <c r="U62" i="1"/>
  <c r="U128" i="1"/>
  <c r="U298" i="1"/>
  <c r="T57" i="1"/>
  <c r="V57" i="1" s="1"/>
  <c r="U107" i="1"/>
  <c r="T234" i="1"/>
  <c r="V234" i="1" s="1"/>
  <c r="T301" i="1"/>
  <c r="V301" i="1" s="1"/>
  <c r="U122" i="1"/>
  <c r="T88" i="1"/>
  <c r="V88" i="1" s="1"/>
  <c r="U142" i="1"/>
  <c r="U88" i="1"/>
  <c r="T145" i="1"/>
  <c r="V145" i="1" s="1"/>
  <c r="T231" i="1"/>
  <c r="V231" i="1" s="1"/>
  <c r="U210" i="1"/>
  <c r="W210" i="1" s="1"/>
  <c r="U271" i="1"/>
  <c r="U281" i="1"/>
  <c r="T296" i="1"/>
  <c r="V296" i="1" s="1"/>
  <c r="U78" i="1"/>
  <c r="U181" i="1"/>
  <c r="U56" i="1"/>
  <c r="T81" i="1"/>
  <c r="V81" i="1" s="1"/>
  <c r="T133" i="1"/>
  <c r="V133" i="1" s="1"/>
  <c r="U141" i="1"/>
  <c r="T186" i="1"/>
  <c r="V186" i="1" s="1"/>
  <c r="U260" i="1"/>
  <c r="U290" i="1"/>
  <c r="U57" i="1"/>
  <c r="U22" i="1"/>
  <c r="U110" i="1"/>
  <c r="U114" i="1"/>
  <c r="U69" i="1"/>
  <c r="U280" i="1"/>
  <c r="U51" i="1"/>
  <c r="U175" i="1"/>
  <c r="U81" i="1"/>
  <c r="T298" i="1"/>
  <c r="V298" i="1" s="1"/>
  <c r="T290" i="1"/>
  <c r="V290" i="1" s="1"/>
  <c r="T100" i="1"/>
  <c r="V100" i="1" s="1"/>
  <c r="T78" i="1"/>
  <c r="V78" i="1" s="1"/>
  <c r="T69" i="1"/>
  <c r="V69" i="1" s="1"/>
  <c r="T114" i="1"/>
  <c r="V114" i="1" s="1"/>
  <c r="U87" i="1"/>
  <c r="T107" i="1"/>
  <c r="V107" i="1" s="1"/>
  <c r="T122" i="1"/>
  <c r="V122" i="1" s="1"/>
  <c r="U269" i="1"/>
  <c r="T128" i="1"/>
  <c r="V128" i="1" s="1"/>
  <c r="T260" i="1"/>
  <c r="V260" i="1" s="1"/>
  <c r="T87" i="1"/>
  <c r="V87" i="1" s="1"/>
  <c r="T62" i="1"/>
  <c r="V62" i="1" s="1"/>
  <c r="T269" i="1"/>
  <c r="V269" i="1" s="1"/>
  <c r="T99" i="1"/>
  <c r="V99" i="1" s="1"/>
  <c r="T270" i="1"/>
  <c r="V270" i="1" s="1"/>
  <c r="U133" i="1"/>
  <c r="T56" i="1"/>
  <c r="V56" i="1" s="1"/>
  <c r="U145" i="1"/>
  <c r="T103" i="1"/>
  <c r="V103" i="1" s="1"/>
  <c r="U73" i="1"/>
  <c r="W73" i="1" s="1"/>
  <c r="T22" i="1"/>
  <c r="V22" i="1" s="1"/>
  <c r="U100" i="1"/>
  <c r="T132" i="1"/>
  <c r="V132" i="1" s="1"/>
  <c r="U132" i="1"/>
  <c r="T233" i="1"/>
  <c r="V233" i="1" s="1"/>
  <c r="T110" i="1"/>
  <c r="V110" i="1" s="1"/>
  <c r="W110" i="1" s="1"/>
  <c r="T271" i="1"/>
  <c r="V271" i="1" s="1"/>
  <c r="T142" i="1"/>
  <c r="V142" i="1" s="1"/>
  <c r="U270" i="1"/>
  <c r="T141" i="1"/>
  <c r="V141" i="1" s="1"/>
  <c r="W169" i="1" l="1"/>
  <c r="W65" i="1"/>
  <c r="W22" i="1"/>
  <c r="W142" i="1"/>
  <c r="W205" i="1"/>
  <c r="W281" i="1"/>
  <c r="W242" i="1"/>
  <c r="W261" i="1"/>
  <c r="B50" i="1"/>
  <c r="W56" i="1"/>
  <c r="W81" i="1"/>
  <c r="W120" i="1"/>
  <c r="W269" i="1"/>
  <c r="W298" i="1"/>
  <c r="W88" i="1"/>
  <c r="W268" i="1"/>
  <c r="W116" i="1"/>
  <c r="W167" i="1"/>
  <c r="W18" i="1"/>
  <c r="W99" i="1"/>
  <c r="W233" i="1"/>
  <c r="W128" i="1"/>
  <c r="W33" i="1"/>
  <c r="W141" i="1"/>
  <c r="W62" i="1"/>
  <c r="W100" i="1"/>
  <c r="W301" i="1"/>
  <c r="W114" i="1"/>
  <c r="W145" i="1"/>
  <c r="W234" i="1"/>
  <c r="W181" i="1"/>
  <c r="W260" i="1"/>
  <c r="W51" i="1"/>
  <c r="W28" i="1"/>
  <c r="W204" i="1"/>
  <c r="W294" i="1"/>
  <c r="W235" i="1"/>
  <c r="W199" i="1"/>
  <c r="W231" i="1"/>
  <c r="W103" i="1"/>
  <c r="W178" i="1"/>
  <c r="W58" i="1"/>
  <c r="W122" i="1"/>
  <c r="W132" i="1"/>
  <c r="W270" i="1"/>
  <c r="W290" i="1"/>
  <c r="W57" i="1"/>
  <c r="W216" i="1"/>
  <c r="W215" i="1"/>
  <c r="W271" i="1"/>
  <c r="W69" i="1"/>
  <c r="W186" i="1"/>
  <c r="W112" i="1"/>
  <c r="W292" i="1"/>
  <c r="W34" i="1"/>
  <c r="W266" i="1"/>
  <c r="W41" i="1"/>
  <c r="W87" i="1"/>
  <c r="W296" i="1"/>
  <c r="W280" i="1"/>
  <c r="W44" i="1"/>
  <c r="W286" i="1"/>
  <c r="W107" i="1"/>
  <c r="W78" i="1"/>
  <c r="W133" i="1"/>
  <c r="W175" i="1"/>
  <c r="W21" i="1"/>
  <c r="W7" i="1"/>
  <c r="W198" i="1"/>
  <c r="W95" i="1"/>
  <c r="W176" i="1"/>
  <c r="B51" i="1" l="1"/>
  <c r="T193" i="1"/>
  <c r="V193" i="1" s="1"/>
  <c r="T165" i="1"/>
  <c r="V165" i="1" s="1"/>
  <c r="U140" i="1"/>
  <c r="T38" i="1"/>
  <c r="V38" i="1" s="1"/>
  <c r="U165" i="1"/>
  <c r="U38" i="1"/>
  <c r="T140" i="1"/>
  <c r="V140" i="1" s="1"/>
  <c r="U193" i="1"/>
  <c r="W140" i="1" l="1"/>
  <c r="W38" i="1"/>
  <c r="W165" i="1"/>
  <c r="W193" i="1"/>
  <c r="B52" i="1"/>
  <c r="B53" i="1" l="1"/>
  <c r="T223" i="1"/>
  <c r="V223" i="1" s="1"/>
  <c r="U223" i="1"/>
  <c r="W223" i="1" l="1"/>
  <c r="B54" i="1"/>
  <c r="B55" i="1" l="1"/>
  <c r="T70" i="1"/>
  <c r="V70" i="1" s="1"/>
  <c r="U207" i="1"/>
  <c r="U190" i="1"/>
  <c r="U265" i="1"/>
  <c r="T207" i="1"/>
  <c r="V207" i="1" s="1"/>
  <c r="U70" i="1"/>
  <c r="T265" i="1"/>
  <c r="V265" i="1" s="1"/>
  <c r="T190" i="1"/>
  <c r="V190" i="1" s="1"/>
  <c r="W207" i="1" l="1"/>
  <c r="W190" i="1"/>
  <c r="W70" i="1"/>
  <c r="W265" i="1"/>
  <c r="B56" i="1"/>
  <c r="B57" i="1" l="1"/>
  <c r="U263" i="1"/>
  <c r="T263" i="1"/>
  <c r="V263" i="1" s="1"/>
  <c r="T15" i="1"/>
  <c r="V15" i="1" s="1"/>
  <c r="T124" i="1"/>
  <c r="V124" i="1" s="1"/>
  <c r="U124" i="1"/>
  <c r="W124" i="1" l="1"/>
  <c r="W263" i="1"/>
  <c r="B58" i="1"/>
  <c r="B59" i="1" l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T220" i="1" s="1"/>
  <c r="V220" i="1" s="1"/>
  <c r="T80" i="1"/>
  <c r="V80" i="1" s="1"/>
  <c r="U168" i="1"/>
  <c r="U27" i="1"/>
  <c r="T98" i="1"/>
  <c r="V98" i="1" s="1"/>
  <c r="T209" i="1"/>
  <c r="V209" i="1" s="1"/>
  <c r="U184" i="1"/>
  <c r="U188" i="1"/>
  <c r="T36" i="1"/>
  <c r="V36" i="1" s="1"/>
  <c r="U251" i="1"/>
  <c r="U25" i="1"/>
  <c r="U152" i="1"/>
  <c r="T285" i="1"/>
  <c r="V285" i="1" s="1"/>
  <c r="T252" i="1"/>
  <c r="V252" i="1" s="1"/>
  <c r="T79" i="1"/>
  <c r="V79" i="1" s="1"/>
  <c r="T172" i="1"/>
  <c r="V172" i="1" s="1"/>
  <c r="U131" i="1"/>
  <c r="U287" i="1"/>
  <c r="T101" i="1"/>
  <c r="V101" i="1" s="1"/>
  <c r="T267" i="1"/>
  <c r="V267" i="1" s="1"/>
  <c r="U238" i="1"/>
  <c r="T213" i="1"/>
  <c r="V213" i="1" s="1"/>
  <c r="U85" i="1"/>
  <c r="T46" i="1"/>
  <c r="V46" i="1" s="1"/>
  <c r="U177" i="1"/>
  <c r="U137" i="1"/>
  <c r="T97" i="1"/>
  <c r="V97" i="1" s="1"/>
  <c r="T251" i="1"/>
  <c r="V251" i="1" s="1"/>
  <c r="U303" i="1"/>
  <c r="T83" i="1"/>
  <c r="V83" i="1" s="1"/>
  <c r="T230" i="1"/>
  <c r="V230" i="1" s="1"/>
  <c r="U277" i="1"/>
  <c r="T226" i="1"/>
  <c r="V226" i="1" s="1"/>
  <c r="U276" i="1"/>
  <c r="T208" i="1"/>
  <c r="V208" i="1" s="1"/>
  <c r="T297" i="1"/>
  <c r="V297" i="1" s="1"/>
  <c r="U229" i="1"/>
  <c r="T85" i="1"/>
  <c r="V85" i="1" s="1"/>
  <c r="U297" i="1"/>
  <c r="T134" i="1"/>
  <c r="V134" i="1" s="1"/>
  <c r="U230" i="1"/>
  <c r="T201" i="1"/>
  <c r="V201" i="1" s="1"/>
  <c r="U60" i="1"/>
  <c r="T39" i="1"/>
  <c r="V39" i="1" s="1"/>
  <c r="U226" i="1"/>
  <c r="T200" i="1"/>
  <c r="V200" i="1" s="1"/>
  <c r="T256" i="1"/>
  <c r="V256" i="1" s="1"/>
  <c r="U259" i="1"/>
  <c r="U220" i="1"/>
  <c r="U86" i="1"/>
  <c r="U295" i="1"/>
  <c r="U89" i="1"/>
  <c r="U105" i="1"/>
  <c r="T174" i="1"/>
  <c r="V174" i="1" s="1"/>
  <c r="T63" i="1"/>
  <c r="V63" i="1" s="1"/>
  <c r="T86" i="1"/>
  <c r="V86" i="1" s="1"/>
  <c r="T77" i="1"/>
  <c r="V77" i="1" s="1"/>
  <c r="U300" i="1"/>
  <c r="T131" i="1"/>
  <c r="V131" i="1" s="1"/>
  <c r="U172" i="1"/>
  <c r="T253" i="1"/>
  <c r="V253" i="1" s="1"/>
  <c r="T160" i="1"/>
  <c r="V160" i="1" s="1"/>
  <c r="T182" i="1"/>
  <c r="V182" i="1" s="1"/>
  <c r="T243" i="1"/>
  <c r="V243" i="1" s="1"/>
  <c r="T146" i="1"/>
  <c r="V146" i="1" s="1"/>
  <c r="U134" i="1"/>
  <c r="T82" i="1"/>
  <c r="V82" i="1" s="1"/>
  <c r="U213" i="1"/>
  <c r="T180" i="1"/>
  <c r="V180" i="1" s="1"/>
  <c r="T300" i="1"/>
  <c r="V300" i="1" s="1"/>
  <c r="T293" i="1"/>
  <c r="V293" i="1" s="1"/>
  <c r="U94" i="1"/>
  <c r="U104" i="1"/>
  <c r="T27" i="1"/>
  <c r="V27" i="1" s="1"/>
  <c r="U79" i="1"/>
  <c r="T60" i="1"/>
  <c r="V60" i="1" s="1"/>
  <c r="W60" i="1" s="1"/>
  <c r="U218" i="1"/>
  <c r="T287" i="1"/>
  <c r="V287" i="1" s="1"/>
  <c r="U158" i="1"/>
  <c r="T43" i="1"/>
  <c r="V43" i="1" s="1"/>
  <c r="U14" i="1"/>
  <c r="T105" i="1"/>
  <c r="V105" i="1" s="1"/>
  <c r="U160" i="1"/>
  <c r="T185" i="1"/>
  <c r="V185" i="1" s="1"/>
  <c r="U126" i="1"/>
  <c r="T295" i="1"/>
  <c r="V295" i="1" s="1"/>
  <c r="W295" i="1" s="1"/>
  <c r="U36" i="1"/>
  <c r="U206" i="1"/>
  <c r="U71" i="1"/>
  <c r="T138" i="1"/>
  <c r="V138" i="1" s="1"/>
  <c r="T254" i="1"/>
  <c r="V254" i="1" s="1"/>
  <c r="U252" i="1"/>
  <c r="U174" i="1"/>
  <c r="T25" i="1"/>
  <c r="V25" i="1" s="1"/>
  <c r="W25" i="1" s="1"/>
  <c r="U228" i="1"/>
  <c r="T258" i="1"/>
  <c r="V258" i="1" s="1"/>
  <c r="T177" i="1"/>
  <c r="V177" i="1" s="1"/>
  <c r="W177" i="1" s="1"/>
  <c r="T126" i="1"/>
  <c r="V126" i="1" s="1"/>
  <c r="U55" i="1"/>
  <c r="T72" i="1"/>
  <c r="V72" i="1" s="1"/>
  <c r="U12" i="1"/>
  <c r="T211" i="1"/>
  <c r="V211" i="1" s="1"/>
  <c r="T37" i="1"/>
  <c r="V37" i="1" s="1"/>
  <c r="T130" i="1"/>
  <c r="V130" i="1" s="1"/>
  <c r="U170" i="1"/>
  <c r="U108" i="1"/>
  <c r="U45" i="1"/>
  <c r="U258" i="1"/>
  <c r="U63" i="1"/>
  <c r="T259" i="1"/>
  <c r="V259" i="1" s="1"/>
  <c r="U93" i="1"/>
  <c r="T276" i="1"/>
  <c r="V276" i="1" s="1"/>
  <c r="T94" i="1"/>
  <c r="V94" i="1" s="1"/>
  <c r="T170" i="1"/>
  <c r="V170" i="1" s="1"/>
  <c r="U97" i="1"/>
  <c r="U200" i="1"/>
  <c r="T303" i="1"/>
  <c r="V303" i="1" s="1"/>
  <c r="W303" i="1" s="1"/>
  <c r="U208" i="1"/>
  <c r="T12" i="1"/>
  <c r="V12" i="1" s="1"/>
  <c r="U130" i="1"/>
  <c r="U253" i="1"/>
  <c r="U80" i="1"/>
  <c r="U256" i="1"/>
  <c r="T168" i="1"/>
  <c r="V168" i="1" s="1"/>
  <c r="W168" i="1" s="1"/>
  <c r="T238" i="1"/>
  <c r="V238" i="1" s="1"/>
  <c r="W238" i="1" s="1"/>
  <c r="U83" i="1"/>
  <c r="U77" i="1"/>
  <c r="T93" i="1"/>
  <c r="V93" i="1" s="1"/>
  <c r="U275" i="1"/>
  <c r="U72" i="1"/>
  <c r="T14" i="1"/>
  <c r="V14" i="1" s="1"/>
  <c r="U37" i="1"/>
  <c r="U267" i="1"/>
  <c r="T17" i="1"/>
  <c r="V17" i="1" s="1"/>
  <c r="T45" i="1"/>
  <c r="V45" i="1" s="1"/>
  <c r="U138" i="1"/>
  <c r="U47" i="1"/>
  <c r="U211" i="1"/>
  <c r="U17" i="1"/>
  <c r="W93" i="1" l="1"/>
  <c r="W170" i="1"/>
  <c r="W253" i="1"/>
  <c r="W14" i="1"/>
  <c r="W131" i="1"/>
  <c r="W72" i="1"/>
  <c r="W251" i="1"/>
  <c r="W85" i="1"/>
  <c r="W138" i="1"/>
  <c r="W27" i="1"/>
  <c r="W259" i="1"/>
  <c r="W297" i="1"/>
  <c r="W94" i="1"/>
  <c r="W220" i="1"/>
  <c r="W208" i="1"/>
  <c r="W97" i="1"/>
  <c r="W126" i="1"/>
  <c r="W77" i="1"/>
  <c r="W226" i="1"/>
  <c r="W36" i="1"/>
  <c r="W80" i="1"/>
  <c r="W276" i="1"/>
  <c r="W130" i="1"/>
  <c r="W258" i="1"/>
  <c r="W86" i="1"/>
  <c r="W134" i="1"/>
  <c r="W172" i="1"/>
  <c r="U254" i="1"/>
  <c r="W254" i="1" s="1"/>
  <c r="W105" i="1"/>
  <c r="W45" i="1"/>
  <c r="W12" i="1"/>
  <c r="W37" i="1"/>
  <c r="W63" i="1"/>
  <c r="W256" i="1"/>
  <c r="W230" i="1"/>
  <c r="W79" i="1"/>
  <c r="U101" i="1"/>
  <c r="W101" i="1" s="1"/>
  <c r="W267" i="1"/>
  <c r="W17" i="1"/>
  <c r="W211" i="1"/>
  <c r="W287" i="1"/>
  <c r="W300" i="1"/>
  <c r="W160" i="1"/>
  <c r="W174" i="1"/>
  <c r="W200" i="1"/>
  <c r="W83" i="1"/>
  <c r="W213" i="1"/>
  <c r="W252" i="1"/>
  <c r="T152" i="1"/>
  <c r="V152" i="1" s="1"/>
  <c r="W152" i="1" s="1"/>
  <c r="U117" i="1"/>
  <c r="T90" i="1"/>
  <c r="V90" i="1" s="1"/>
  <c r="U90" i="1"/>
  <c r="T117" i="1"/>
  <c r="V117" i="1" s="1"/>
  <c r="U155" i="1"/>
  <c r="U225" i="1"/>
  <c r="T155" i="1"/>
  <c r="V155" i="1" s="1"/>
  <c r="T31" i="1"/>
  <c r="V31" i="1" s="1"/>
  <c r="U279" i="1"/>
  <c r="U221" i="1"/>
  <c r="T30" i="1"/>
  <c r="V30" i="1" s="1"/>
  <c r="U224" i="1"/>
  <c r="U125" i="1"/>
  <c r="T115" i="1"/>
  <c r="V115" i="1" s="1"/>
  <c r="T279" i="1"/>
  <c r="V279" i="1" s="1"/>
  <c r="T125" i="1"/>
  <c r="V125" i="1" s="1"/>
  <c r="T221" i="1"/>
  <c r="V221" i="1" s="1"/>
  <c r="T224" i="1"/>
  <c r="V224" i="1" s="1"/>
  <c r="T219" i="1"/>
  <c r="V219" i="1" s="1"/>
  <c r="U30" i="1"/>
  <c r="U302" i="1"/>
  <c r="U219" i="1"/>
  <c r="U31" i="1"/>
  <c r="T302" i="1"/>
  <c r="V302" i="1" s="1"/>
  <c r="T225" i="1"/>
  <c r="V225" i="1" s="1"/>
  <c r="U148" i="1"/>
  <c r="U19" i="1"/>
  <c r="T148" i="1"/>
  <c r="V148" i="1" s="1"/>
  <c r="U136" i="1"/>
  <c r="U52" i="1"/>
  <c r="T52" i="1"/>
  <c r="V52" i="1" s="1"/>
  <c r="T19" i="1"/>
  <c r="V19" i="1" s="1"/>
  <c r="U115" i="1"/>
  <c r="T136" i="1"/>
  <c r="V136" i="1" s="1"/>
  <c r="U96" i="1"/>
  <c r="T96" i="1"/>
  <c r="V96" i="1" s="1"/>
  <c r="U92" i="1"/>
  <c r="T183" i="1"/>
  <c r="V183" i="1" s="1"/>
  <c r="U209" i="1"/>
  <c r="W209" i="1" s="1"/>
  <c r="U183" i="1"/>
  <c r="U245" i="1"/>
  <c r="T121" i="1"/>
  <c r="V121" i="1" s="1"/>
  <c r="U212" i="1"/>
  <c r="T24" i="1"/>
  <c r="V24" i="1" s="1"/>
  <c r="U282" i="1"/>
  <c r="U195" i="1"/>
  <c r="U144" i="1"/>
  <c r="U179" i="1"/>
  <c r="U161" i="1"/>
  <c r="T289" i="1"/>
  <c r="V289" i="1" s="1"/>
  <c r="T48" i="1"/>
  <c r="V48" i="1" s="1"/>
  <c r="U166" i="1"/>
  <c r="T109" i="1"/>
  <c r="V109" i="1" s="1"/>
  <c r="T23" i="1"/>
  <c r="V23" i="1" s="1"/>
  <c r="T179" i="1"/>
  <c r="V179" i="1" s="1"/>
  <c r="U113" i="1"/>
  <c r="U74" i="1"/>
  <c r="U9" i="1"/>
  <c r="T257" i="1"/>
  <c r="V257" i="1" s="1"/>
  <c r="U257" i="1"/>
  <c r="U84" i="1"/>
  <c r="U16" i="1"/>
  <c r="T113" i="1"/>
  <c r="V113" i="1" s="1"/>
  <c r="T278" i="1"/>
  <c r="V278" i="1" s="1"/>
  <c r="T50" i="1"/>
  <c r="V50" i="1" s="1"/>
  <c r="U187" i="1"/>
  <c r="U289" i="1"/>
  <c r="U255" i="1"/>
  <c r="T239" i="1"/>
  <c r="V239" i="1" s="1"/>
  <c r="U50" i="1"/>
  <c r="U129" i="1"/>
  <c r="T203" i="1"/>
  <c r="V203" i="1" s="1"/>
  <c r="U240" i="1"/>
  <c r="U26" i="1"/>
  <c r="T161" i="1"/>
  <c r="V161" i="1" s="1"/>
  <c r="U24" i="1"/>
  <c r="U143" i="1"/>
  <c r="U23" i="1"/>
  <c r="U247" i="1"/>
  <c r="T153" i="1"/>
  <c r="V153" i="1" s="1"/>
  <c r="U249" i="1"/>
  <c r="U75" i="1"/>
  <c r="T143" i="1"/>
  <c r="V143" i="1" s="1"/>
  <c r="U191" i="1"/>
  <c r="U291" i="1"/>
  <c r="T240" i="1"/>
  <c r="V240" i="1" s="1"/>
  <c r="T272" i="1"/>
  <c r="V272" i="1" s="1"/>
  <c r="U162" i="1"/>
  <c r="U49" i="1"/>
  <c r="U203" i="1"/>
  <c r="T75" i="1"/>
  <c r="V75" i="1" s="1"/>
  <c r="U194" i="1"/>
  <c r="T282" i="1"/>
  <c r="V282" i="1" s="1"/>
  <c r="W282" i="1" s="1"/>
  <c r="T249" i="1"/>
  <c r="V249" i="1" s="1"/>
  <c r="T187" i="1"/>
  <c r="V187" i="1" s="1"/>
  <c r="U48" i="1"/>
  <c r="T151" i="1"/>
  <c r="V151" i="1" s="1"/>
  <c r="T291" i="1"/>
  <c r="V291" i="1" s="1"/>
  <c r="T76" i="1"/>
  <c r="V76" i="1" s="1"/>
  <c r="U189" i="1"/>
  <c r="T67" i="1"/>
  <c r="V67" i="1" s="1"/>
  <c r="T212" i="1"/>
  <c r="V212" i="1" s="1"/>
  <c r="T26" i="1"/>
  <c r="V26" i="1" s="1"/>
  <c r="U121" i="1"/>
  <c r="T9" i="1"/>
  <c r="V9" i="1" s="1"/>
  <c r="T189" i="1"/>
  <c r="V189" i="1" s="1"/>
  <c r="U197" i="1"/>
  <c r="U154" i="1"/>
  <c r="U239" i="1"/>
  <c r="U109" i="1"/>
  <c r="T162" i="1"/>
  <c r="V162" i="1" s="1"/>
  <c r="U272" i="1"/>
  <c r="T59" i="1"/>
  <c r="V59" i="1" s="1"/>
  <c r="U76" i="1"/>
  <c r="T92" i="1"/>
  <c r="V92" i="1" s="1"/>
  <c r="T144" i="1"/>
  <c r="V144" i="1" s="1"/>
  <c r="T123" i="1"/>
  <c r="V123" i="1" s="1"/>
  <c r="T245" i="1"/>
  <c r="V245" i="1" s="1"/>
  <c r="U67" i="1"/>
  <c r="U59" i="1"/>
  <c r="T4" i="1"/>
  <c r="V4" i="1" s="1"/>
  <c r="T5" i="1"/>
  <c r="V5" i="1" s="1"/>
  <c r="T255" i="1"/>
  <c r="V255" i="1" s="1"/>
  <c r="T247" i="1"/>
  <c r="V247" i="1" s="1"/>
  <c r="T118" i="1"/>
  <c r="V118" i="1" s="1"/>
  <c r="U123" i="1"/>
  <c r="U153" i="1"/>
  <c r="U118" i="1"/>
  <c r="T49" i="1"/>
  <c r="V49" i="1" s="1"/>
  <c r="W49" i="1" s="1"/>
  <c r="U278" i="1"/>
  <c r="T191" i="1"/>
  <c r="V191" i="1" s="1"/>
  <c r="T16" i="1"/>
  <c r="V16" i="1" s="1"/>
  <c r="T159" i="1"/>
  <c r="V159" i="1" s="1"/>
  <c r="U4" i="1"/>
  <c r="T84" i="1"/>
  <c r="V84" i="1" s="1"/>
  <c r="T194" i="1"/>
  <c r="V194" i="1" s="1"/>
  <c r="U5" i="1"/>
  <c r="T154" i="1"/>
  <c r="V154" i="1" s="1"/>
  <c r="T74" i="1"/>
  <c r="V74" i="1" s="1"/>
  <c r="T66" i="1"/>
  <c r="V66" i="1" s="1"/>
  <c r="T197" i="1"/>
  <c r="V197" i="1" s="1"/>
  <c r="T129" i="1"/>
  <c r="V129" i="1" s="1"/>
  <c r="T262" i="1"/>
  <c r="V262" i="1" s="1"/>
  <c r="U159" i="1"/>
  <c r="T166" i="1"/>
  <c r="V166" i="1" s="1"/>
  <c r="U151" i="1"/>
  <c r="U232" i="1"/>
  <c r="T232" i="1"/>
  <c r="V232" i="1" s="1"/>
  <c r="U262" i="1"/>
  <c r="U147" i="1"/>
  <c r="T195" i="1"/>
  <c r="V195" i="1" s="1"/>
  <c r="U35" i="1"/>
  <c r="T35" i="1"/>
  <c r="V35" i="1" s="1"/>
  <c r="U66" i="1"/>
  <c r="T147" i="1"/>
  <c r="V147" i="1" s="1"/>
  <c r="U202" i="1"/>
  <c r="U299" i="1"/>
  <c r="T202" i="1"/>
  <c r="V202" i="1" s="1"/>
  <c r="U127" i="1"/>
  <c r="T127" i="1"/>
  <c r="V127" i="1" s="1"/>
  <c r="T299" i="1"/>
  <c r="V299" i="1" s="1"/>
  <c r="U15" i="1"/>
  <c r="W15" i="1" s="1"/>
  <c r="T264" i="1"/>
  <c r="V264" i="1" s="1"/>
  <c r="U243" i="1"/>
  <c r="W243" i="1" s="1"/>
  <c r="T206" i="1"/>
  <c r="V206" i="1" s="1"/>
  <c r="W206" i="1" s="1"/>
  <c r="T236" i="1"/>
  <c r="V236" i="1" s="1"/>
  <c r="U43" i="1"/>
  <c r="W43" i="1" s="1"/>
  <c r="T184" i="1"/>
  <c r="V184" i="1" s="1"/>
  <c r="W184" i="1" s="1"/>
  <c r="U236" i="1"/>
  <c r="U264" i="1"/>
  <c r="T277" i="1"/>
  <c r="V277" i="1" s="1"/>
  <c r="W277" i="1" s="1"/>
  <c r="U46" i="1"/>
  <c r="W46" i="1" s="1"/>
  <c r="U273" i="1"/>
  <c r="U180" i="1"/>
  <c r="W180" i="1" s="1"/>
  <c r="U214" i="1"/>
  <c r="T214" i="1"/>
  <c r="V214" i="1" s="1"/>
  <c r="U182" i="1"/>
  <c r="W182" i="1" s="1"/>
  <c r="U201" i="1"/>
  <c r="W201" i="1" s="1"/>
  <c r="U20" i="1"/>
  <c r="T137" i="1"/>
  <c r="V137" i="1" s="1"/>
  <c r="W137" i="1" s="1"/>
  <c r="T237" i="1"/>
  <c r="V237" i="1" s="1"/>
  <c r="U98" i="1"/>
  <c r="W98" i="1" s="1"/>
  <c r="U39" i="1"/>
  <c r="W39" i="1" s="1"/>
  <c r="T275" i="1"/>
  <c r="V275" i="1" s="1"/>
  <c r="W275" i="1" s="1"/>
  <c r="U185" i="1"/>
  <c r="W185" i="1" s="1"/>
  <c r="U237" i="1"/>
  <c r="T158" i="1"/>
  <c r="V158" i="1" s="1"/>
  <c r="W158" i="1" s="1"/>
  <c r="T229" i="1"/>
  <c r="V229" i="1" s="1"/>
  <c r="W229" i="1" s="1"/>
  <c r="T71" i="1"/>
  <c r="V71" i="1" s="1"/>
  <c r="W71" i="1" s="1"/>
  <c r="T104" i="1"/>
  <c r="V104" i="1" s="1"/>
  <c r="W104" i="1" s="1"/>
  <c r="T228" i="1"/>
  <c r="V228" i="1" s="1"/>
  <c r="W228" i="1" s="1"/>
  <c r="T108" i="1"/>
  <c r="V108" i="1" s="1"/>
  <c r="W108" i="1" s="1"/>
  <c r="T47" i="1"/>
  <c r="V47" i="1" s="1"/>
  <c r="W47" i="1" s="1"/>
  <c r="U146" i="1"/>
  <c r="W146" i="1" s="1"/>
  <c r="U13" i="1"/>
  <c r="T55" i="1"/>
  <c r="V55" i="1" s="1"/>
  <c r="W55" i="1" s="1"/>
  <c r="U293" i="1"/>
  <c r="W293" i="1" s="1"/>
  <c r="U285" i="1"/>
  <c r="W285" i="1" s="1"/>
  <c r="T13" i="1"/>
  <c r="V13" i="1" s="1"/>
  <c r="T89" i="1"/>
  <c r="V89" i="1" s="1"/>
  <c r="W89" i="1" s="1"/>
  <c r="U82" i="1"/>
  <c r="W82" i="1" s="1"/>
  <c r="T20" i="1"/>
  <c r="V20" i="1" s="1"/>
  <c r="T188" i="1"/>
  <c r="V188" i="1" s="1"/>
  <c r="W188" i="1" s="1"/>
  <c r="T273" i="1"/>
  <c r="V273" i="1" s="1"/>
  <c r="T218" i="1"/>
  <c r="V218" i="1" s="1"/>
  <c r="W218" i="1" s="1"/>
  <c r="W84" i="1" l="1"/>
  <c r="W214" i="1"/>
  <c r="W127" i="1"/>
  <c r="W272" i="1"/>
  <c r="W153" i="1"/>
  <c r="W302" i="1"/>
  <c r="W125" i="1"/>
  <c r="W299" i="1"/>
  <c r="W35" i="1"/>
  <c r="W4" i="1"/>
  <c r="W59" i="1"/>
  <c r="W50" i="1"/>
  <c r="W115" i="1"/>
  <c r="W225" i="1"/>
  <c r="W237" i="1"/>
  <c r="W291" i="1"/>
  <c r="W136" i="1"/>
  <c r="W255" i="1"/>
  <c r="W257" i="1"/>
  <c r="W66" i="1"/>
  <c r="W154" i="1"/>
  <c r="W189" i="1"/>
  <c r="W224" i="1"/>
  <c r="W194" i="1"/>
  <c r="W19" i="1"/>
  <c r="W13" i="1"/>
  <c r="W195" i="1"/>
  <c r="W262" i="1"/>
  <c r="W191" i="1"/>
  <c r="W20" i="1"/>
  <c r="W148" i="1"/>
  <c r="W166" i="1"/>
  <c r="W212" i="1"/>
  <c r="W197" i="1"/>
  <c r="W9" i="1"/>
  <c r="W221" i="1"/>
  <c r="W203" i="1"/>
  <c r="W129" i="1"/>
  <c r="W273" i="1"/>
  <c r="W151" i="1"/>
  <c r="W278" i="1"/>
  <c r="W26" i="1"/>
  <c r="W187" i="1"/>
  <c r="W92" i="1"/>
  <c r="W143" i="1"/>
  <c r="W162" i="1"/>
  <c r="W113" i="1"/>
  <c r="W179" i="1"/>
  <c r="W52" i="1"/>
  <c r="W31" i="1"/>
  <c r="W279" i="1"/>
  <c r="W183" i="1"/>
  <c r="W236" i="1"/>
  <c r="W159" i="1"/>
  <c r="W118" i="1"/>
  <c r="W123" i="1"/>
  <c r="W67" i="1"/>
  <c r="W239" i="1"/>
  <c r="W109" i="1"/>
  <c r="W155" i="1"/>
  <c r="W245" i="1"/>
  <c r="W240" i="1"/>
  <c r="W23" i="1"/>
  <c r="W202" i="1"/>
  <c r="W232" i="1"/>
  <c r="W16" i="1"/>
  <c r="W247" i="1"/>
  <c r="W144" i="1"/>
  <c r="W24" i="1"/>
  <c r="W96" i="1"/>
  <c r="W117" i="1"/>
  <c r="W249" i="1"/>
  <c r="W264" i="1"/>
  <c r="W147" i="1"/>
  <c r="W74" i="1"/>
  <c r="W76" i="1"/>
  <c r="W75" i="1"/>
  <c r="W161" i="1"/>
  <c r="W48" i="1"/>
  <c r="W219" i="1"/>
  <c r="W30" i="1"/>
  <c r="W5" i="1"/>
  <c r="W289" i="1"/>
  <c r="W121" i="1"/>
  <c r="W90" i="1"/>
</calcChain>
</file>

<file path=xl/sharedStrings.xml><?xml version="1.0" encoding="utf-8"?>
<sst xmlns="http://schemas.openxmlformats.org/spreadsheetml/2006/main" count="1026" uniqueCount="717">
  <si>
    <t>Iitem ID</t>
  </si>
  <si>
    <t>Item Name</t>
  </si>
  <si>
    <t>Price</t>
  </si>
  <si>
    <t>Offer</t>
  </si>
  <si>
    <t>Kadhi Pakora</t>
  </si>
  <si>
    <t>Paneer Tikka Masala</t>
  </si>
  <si>
    <t>Baingan Bharta</t>
  </si>
  <si>
    <t>Malai Kofta</t>
  </si>
  <si>
    <t>Palak Paneer</t>
  </si>
  <si>
    <t>Shahi Paneer</t>
  </si>
  <si>
    <t>Aloo Gobi</t>
  </si>
  <si>
    <t>Methi Matar Malai</t>
  </si>
  <si>
    <t>Navratan Korma</t>
  </si>
  <si>
    <t>Chana Masala</t>
  </si>
  <si>
    <t>Dum Aloo</t>
  </si>
  <si>
    <t>Matar Paneer</t>
  </si>
  <si>
    <t>Bhindi Masala</t>
  </si>
  <si>
    <t>Kadai Paneer</t>
  </si>
  <si>
    <t>Vegetable Jalfrezi</t>
  </si>
  <si>
    <t>Palak Aloo</t>
  </si>
  <si>
    <t>Paneer Butter Masala</t>
  </si>
  <si>
    <t>Dum Paneer Kali Mirch</t>
  </si>
  <si>
    <t>Mushroom Matar</t>
  </si>
  <si>
    <t>Aloo Methi</t>
  </si>
  <si>
    <t>Butter Chicken (Murgh Makhani)</t>
  </si>
  <si>
    <t>Chicken Tikka Masala</t>
  </si>
  <si>
    <t>Rogan Josh</t>
  </si>
  <si>
    <t>Tandoori Chicken</t>
  </si>
  <si>
    <t>Fish Curry (Meen Kozhambu)</t>
  </si>
  <si>
    <t>Chicken Biryani</t>
  </si>
  <si>
    <t>Lamb Korma</t>
  </si>
  <si>
    <t>Goan Fish Curry</t>
  </si>
  <si>
    <t>Chicken Kebab</t>
  </si>
  <si>
    <t>Hyderabadi Dum Biryani</t>
  </si>
  <si>
    <t>Chicken 65</t>
  </si>
  <si>
    <t>Mutton Rogan Josh</t>
  </si>
  <si>
    <t>Fish Tikka</t>
  </si>
  <si>
    <t>Chicken Vindaloo</t>
  </si>
  <si>
    <t>Egg Curry (Anda Curry)</t>
  </si>
  <si>
    <t>Chicken Malai Tikka</t>
  </si>
  <si>
    <t>Mutton Korma</t>
  </si>
  <si>
    <t>Prawn Masala</t>
  </si>
  <si>
    <t>Keema Matar</t>
  </si>
  <si>
    <t>Chicken Chettinad</t>
  </si>
  <si>
    <t>Plain Roti</t>
  </si>
  <si>
    <t>Chapati</t>
  </si>
  <si>
    <t>Naan</t>
  </si>
  <si>
    <t>Tandoori Roti</t>
  </si>
  <si>
    <t>Paratha</t>
  </si>
  <si>
    <t>Missi Roti</t>
  </si>
  <si>
    <t>Puri</t>
  </si>
  <si>
    <t>Aloo Paratha</t>
  </si>
  <si>
    <t>Laccha Paratha</t>
  </si>
  <si>
    <t>Methi Roti</t>
  </si>
  <si>
    <t>Manchurian</t>
  </si>
  <si>
    <t>Fried Rice</t>
  </si>
  <si>
    <t>Hakka Noodles</t>
  </si>
  <si>
    <t>Chilli Chicken</t>
  </si>
  <si>
    <t>Spring Rolls</t>
  </si>
  <si>
    <t>Szechwan Fried Rice</t>
  </si>
  <si>
    <t>Sweet and Sour Chicken</t>
  </si>
  <si>
    <t>Dim Sum (Momos)</t>
  </si>
  <si>
    <t>Chow Mein</t>
  </si>
  <si>
    <t>Hot and Sour Soup</t>
  </si>
  <si>
    <t>Gulab Jamun</t>
  </si>
  <si>
    <t>Rasgulla</t>
  </si>
  <si>
    <t>Jalebi</t>
  </si>
  <si>
    <t>Barfi</t>
  </si>
  <si>
    <t>Rasmalai</t>
  </si>
  <si>
    <t>Ladoo</t>
  </si>
  <si>
    <t>Kheer</t>
  </si>
  <si>
    <t>Gajar ka Halwa</t>
  </si>
  <si>
    <t>Sandesh</t>
  </si>
  <si>
    <t>Malpua</t>
  </si>
  <si>
    <t>Kulfi</t>
  </si>
  <si>
    <t>Falooda</t>
  </si>
  <si>
    <t>Shahi Tukda</t>
  </si>
  <si>
    <t>Vanilla</t>
  </si>
  <si>
    <t>Chocolate</t>
  </si>
  <si>
    <t>Strawberry</t>
  </si>
  <si>
    <t>Mint Chocolate Chip</t>
  </si>
  <si>
    <t>Cookies and Cream</t>
  </si>
  <si>
    <t>Rocky Road</t>
  </si>
  <si>
    <t>Coffee</t>
  </si>
  <si>
    <t>Pistachio</t>
  </si>
  <si>
    <t>Butter Pecan</t>
  </si>
  <si>
    <t>Neapolitan</t>
  </si>
  <si>
    <t>Coca-Cola</t>
  </si>
  <si>
    <t>Pepsi</t>
  </si>
  <si>
    <t>Sprite</t>
  </si>
  <si>
    <t>Fanta</t>
  </si>
  <si>
    <t>Mountain Dew</t>
  </si>
  <si>
    <t>7UP</t>
  </si>
  <si>
    <t>Dr. Pepper</t>
  </si>
  <si>
    <t>Red Bull</t>
  </si>
  <si>
    <t>Monster Energy</t>
  </si>
  <si>
    <t>Gatorade</t>
  </si>
  <si>
    <t>Classic Mojito</t>
  </si>
  <si>
    <t>Strawberry Mojito</t>
  </si>
  <si>
    <t>Mango Mojito</t>
  </si>
  <si>
    <t>Pineapple Mojito</t>
  </si>
  <si>
    <t>Blueberry Mojito</t>
  </si>
  <si>
    <t>Vanilla Milkshake</t>
  </si>
  <si>
    <t>Chocolate Milkshake</t>
  </si>
  <si>
    <t>Strawberry Milkshake</t>
  </si>
  <si>
    <t>Banana Milkshake</t>
  </si>
  <si>
    <t>Oreo Milkshake</t>
  </si>
  <si>
    <t>Aditya Sharma</t>
  </si>
  <si>
    <t>Sneha Patel</t>
  </si>
  <si>
    <t>Rohan Singh</t>
  </si>
  <si>
    <t>Ananya Verma</t>
  </si>
  <si>
    <t>Siddharth Reddy</t>
  </si>
  <si>
    <t>Ayesha Gupta</t>
  </si>
  <si>
    <t>Arjun Kumar</t>
  </si>
  <si>
    <t>Nidhi Shah</t>
  </si>
  <si>
    <t>Vikram Yadav</t>
  </si>
  <si>
    <t>Priya Mishra</t>
  </si>
  <si>
    <t>Yash Kapoor</t>
  </si>
  <si>
    <t>Riya Choudhary</t>
  </si>
  <si>
    <t>Akash Singhania</t>
  </si>
  <si>
    <t>Kritika Das</t>
  </si>
  <si>
    <t>Aarav Mehta</t>
  </si>
  <si>
    <t>Diya Banerjee</t>
  </si>
  <si>
    <t>Pranav Rana</t>
  </si>
  <si>
    <t>Shruti Malhotra</t>
  </si>
  <si>
    <t>Karan Joshi</t>
  </si>
  <si>
    <t>Ishaan Sharma</t>
  </si>
  <si>
    <t>Tanvi Jain</t>
  </si>
  <si>
    <t>Aditi Khanna</t>
  </si>
  <si>
    <t>Aryan Patel</t>
  </si>
  <si>
    <t>Avni Saxena</t>
  </si>
  <si>
    <t>Rohit Agarwal</t>
  </si>
  <si>
    <t>Divya Singh</t>
  </si>
  <si>
    <t>Vivan Bhatia</t>
  </si>
  <si>
    <t>Sanya Reddy</t>
  </si>
  <si>
    <t>Arnav Mathur</t>
  </si>
  <si>
    <t>Aisha Ahuja</t>
  </si>
  <si>
    <t>Vihaan Suri</t>
  </si>
  <si>
    <t>Ishita Menon</t>
  </si>
  <si>
    <t>Kabir Singh</t>
  </si>
  <si>
    <t>Aaradhya Nair</t>
  </si>
  <si>
    <t>Aman Kapoor</t>
  </si>
  <si>
    <t>Aanya Verma</t>
  </si>
  <si>
    <t>Zoya Chawla</t>
  </si>
  <si>
    <t>Advik Mishra</t>
  </si>
  <si>
    <t>Ananya Banerjee</t>
  </si>
  <si>
    <t>Vedant Desai</t>
  </si>
  <si>
    <t>Saanvi Patel</t>
  </si>
  <si>
    <t>Vivaan Khanna</t>
  </si>
  <si>
    <t>Aarushi Sharma</t>
  </si>
  <si>
    <t>Atharv Gupta</t>
  </si>
  <si>
    <t>Ayesha Malik</t>
  </si>
  <si>
    <t>Devansh Choudhary</t>
  </si>
  <si>
    <t>Ishika Goyal</t>
  </si>
  <si>
    <t>Krish Sharma</t>
  </si>
  <si>
    <t>Saisha Kapoor</t>
  </si>
  <si>
    <t>Pranav Singh</t>
  </si>
  <si>
    <t>Kavya Thakur</t>
  </si>
  <si>
    <t>Vivaan Khurana</t>
  </si>
  <si>
    <t>Samaira Gupta</t>
  </si>
  <si>
    <t>Arjun Singhania</t>
  </si>
  <si>
    <t>Anvi Malhotra</t>
  </si>
  <si>
    <t>Arya Patel</t>
  </si>
  <si>
    <t>Aarav Sengupta</t>
  </si>
  <si>
    <t>Zara Kapoor</t>
  </si>
  <si>
    <t>Advait Khanna</t>
  </si>
  <si>
    <t>Riya Sharma</t>
  </si>
  <si>
    <t>Shaurya Mehra</t>
  </si>
  <si>
    <t>Siya Agarwal</t>
  </si>
  <si>
    <t>Aarush Singh</t>
  </si>
  <si>
    <t>Eshaan Chawla</t>
  </si>
  <si>
    <t>Kyra Sharma</t>
  </si>
  <si>
    <t>Yuvraj Saxena</t>
  </si>
  <si>
    <t>Aisha Malhotra</t>
  </si>
  <si>
    <t>Aarav Verma</t>
  </si>
  <si>
    <t>Anvi Kapoor</t>
  </si>
  <si>
    <t>Viraj Singh</t>
  </si>
  <si>
    <t>Vanya Choudhary</t>
  </si>
  <si>
    <t>Kriti Menon</t>
  </si>
  <si>
    <t>Kian Ahuja</t>
  </si>
  <si>
    <t>Saumya Gupta</t>
  </si>
  <si>
    <t>Arnav Nair</t>
  </si>
  <si>
    <t>Amaira Desai</t>
  </si>
  <si>
    <t>Dhruv Patel</t>
  </si>
  <si>
    <t>Navya Khanna</t>
  </si>
  <si>
    <t>Arya Singh</t>
  </si>
  <si>
    <t>Ruhi Mehra</t>
  </si>
  <si>
    <t>Rehaan Sharma</t>
  </si>
  <si>
    <t>Diya Reddy</t>
  </si>
  <si>
    <t>Zayn Thakur</t>
  </si>
  <si>
    <t>Myra Khatri</t>
  </si>
  <si>
    <t>Aarav Bhatia</t>
  </si>
  <si>
    <t>Avani Sinha</t>
  </si>
  <si>
    <t>Dev Malhotra</t>
  </si>
  <si>
    <t>Naisha Shah</t>
  </si>
  <si>
    <t>Aryan Chopra</t>
  </si>
  <si>
    <t>Anaya Mishra</t>
  </si>
  <si>
    <t>Vivaan Gupta</t>
  </si>
  <si>
    <t>Navya Malhotra</t>
  </si>
  <si>
    <t>Advika Patel</t>
  </si>
  <si>
    <t>Arjun Singh</t>
  </si>
  <si>
    <t>Nysa Chawla</t>
  </si>
  <si>
    <t>Neel Singhania</t>
  </si>
  <si>
    <t>Aaradhya Kapoor</t>
  </si>
  <si>
    <t>Kiara Das</t>
  </si>
  <si>
    <t>Aanya Mehra</t>
  </si>
  <si>
    <t>Vihan Agarwal</t>
  </si>
  <si>
    <t>Siya Sengupta</t>
  </si>
  <si>
    <t>Arya Verma</t>
  </si>
  <si>
    <t>Arnav Choudhary</t>
  </si>
  <si>
    <t>Anika Thakur</t>
  </si>
  <si>
    <t>Dhruv Mehta</t>
  </si>
  <si>
    <t>Naina Menon</t>
  </si>
  <si>
    <t>Aarush Khurana</t>
  </si>
  <si>
    <t>Inaya Reddy</t>
  </si>
  <si>
    <t>Reyan Saxena</t>
  </si>
  <si>
    <t>Kashvi Sharma</t>
  </si>
  <si>
    <t>Vivaan Kapoor</t>
  </si>
  <si>
    <t>Rhea Gupta</t>
  </si>
  <si>
    <t>Shaurya Nair</t>
  </si>
  <si>
    <t>Anvi Singh</t>
  </si>
  <si>
    <t>Atharva Patel</t>
  </si>
  <si>
    <t>Aaradhya Mehra</t>
  </si>
  <si>
    <t>Anaisha Desai</t>
  </si>
  <si>
    <t>Aadi Gupta</t>
  </si>
  <si>
    <t>Aarav Chawla</t>
  </si>
  <si>
    <t>Prisha Khanna</t>
  </si>
  <si>
    <t>Kiaan Patel</t>
  </si>
  <si>
    <t>Myra Sharma</t>
  </si>
  <si>
    <t>Aarav Menon</t>
  </si>
  <si>
    <t>Saanvi Malhotra</t>
  </si>
  <si>
    <t>Vihaan Singh</t>
  </si>
  <si>
    <t>Aadhya Kapoor</t>
  </si>
  <si>
    <t>Aarush Malhotra</t>
  </si>
  <si>
    <t>Kiara Gupta</t>
  </si>
  <si>
    <t>Aarav Thakur</t>
  </si>
  <si>
    <t>Arisha Patel</t>
  </si>
  <si>
    <t>Krish Nair</t>
  </si>
  <si>
    <t>Nandini Shah</t>
  </si>
  <si>
    <t>Shaurya Das</t>
  </si>
  <si>
    <t>Anvi Singhania</t>
  </si>
  <si>
    <t>Ahaan Choudhary</t>
  </si>
  <si>
    <t>Aisha Agarwal</t>
  </si>
  <si>
    <t>Ivaan Mehra</t>
  </si>
  <si>
    <t>Anaya Chawla</t>
  </si>
  <si>
    <t>Vivan Kapoor</t>
  </si>
  <si>
    <t>Amaira Singh</t>
  </si>
  <si>
    <t>Arnav Saxena</t>
  </si>
  <si>
    <t>Anvi Choudhary</t>
  </si>
  <si>
    <t>Aayush Mehra</t>
  </si>
  <si>
    <t>Aarna Patel</t>
  </si>
  <si>
    <t>Anaya Singh</t>
  </si>
  <si>
    <t>Vivaan Malhotra</t>
  </si>
  <si>
    <t>Avani Nair</t>
  </si>
  <si>
    <t>Reyaan Sharma</t>
  </si>
  <si>
    <t>Arisha Thakur</t>
  </si>
  <si>
    <t>Siya Mehra</t>
  </si>
  <si>
    <t>Shaurya Khanna</t>
  </si>
  <si>
    <t>Kiara Agarwal</t>
  </si>
  <si>
    <t>Ayaan Patel</t>
  </si>
  <si>
    <t>Shanaya Das</t>
  </si>
  <si>
    <t>Vihaan Shah</t>
  </si>
  <si>
    <t>Anika Singhania</t>
  </si>
  <si>
    <t>Vivaan Chawla</t>
  </si>
  <si>
    <t>Aradhya Mehra</t>
  </si>
  <si>
    <t>Vivaan Nair</t>
  </si>
  <si>
    <t>Aarav Malhotra</t>
  </si>
  <si>
    <t>Anika Mehra</t>
  </si>
  <si>
    <t>Arjun Khanna</t>
  </si>
  <si>
    <t>Anvi Agarwal</t>
  </si>
  <si>
    <t>Aarav Shah</t>
  </si>
  <si>
    <t>Aisha Nair</t>
  </si>
  <si>
    <t>Advik Patel</t>
  </si>
  <si>
    <t>Kyra Das</t>
  </si>
  <si>
    <t>Arnav Mehra</t>
  </si>
  <si>
    <t>Arisha Chawla</t>
  </si>
  <si>
    <t>Pranav Khanna</t>
  </si>
  <si>
    <t>Avni Patel</t>
  </si>
  <si>
    <t>Aanya Nair</t>
  </si>
  <si>
    <t>Krish Malhotra</t>
  </si>
  <si>
    <t>Anvi Verma</t>
  </si>
  <si>
    <t>Aarush Choudhary</t>
  </si>
  <si>
    <t>Vanya Shah</t>
  </si>
  <si>
    <t>Aarav Mehra</t>
  </si>
  <si>
    <t>Siya Kapoor</t>
  </si>
  <si>
    <t>Arnav Malhotra</t>
  </si>
  <si>
    <t>Aaradhya Chawla</t>
  </si>
  <si>
    <t>Vivaan Shah</t>
  </si>
  <si>
    <t>Customer ID</t>
  </si>
  <si>
    <t>Customer Name</t>
  </si>
  <si>
    <t>Contact</t>
  </si>
  <si>
    <t>Location</t>
  </si>
  <si>
    <t>+91 9876543210</t>
  </si>
  <si>
    <t>+91 9876543211</t>
  </si>
  <si>
    <t>+91 9876543212</t>
  </si>
  <si>
    <t>+91 9876543213</t>
  </si>
  <si>
    <t>+91 9876543214</t>
  </si>
  <si>
    <t>+91 9876543215</t>
  </si>
  <si>
    <t>+91 9876543216</t>
  </si>
  <si>
    <t>+91 9876543217</t>
  </si>
  <si>
    <t>+91 9876543218</t>
  </si>
  <si>
    <t>+91 9876543219</t>
  </si>
  <si>
    <t>+91 9876543220</t>
  </si>
  <si>
    <t>+91 9876543221</t>
  </si>
  <si>
    <t>+91 9876543222</t>
  </si>
  <si>
    <t>+91 9876543223</t>
  </si>
  <si>
    <t>+91 9876543224</t>
  </si>
  <si>
    <t>+91 9876543225</t>
  </si>
  <si>
    <t>+91 9876543226</t>
  </si>
  <si>
    <t>+91 9876543227</t>
  </si>
  <si>
    <t>+91 9876543228</t>
  </si>
  <si>
    <t>+91 9876543229</t>
  </si>
  <si>
    <t>+91 9876543230</t>
  </si>
  <si>
    <t>+91 9876543231</t>
  </si>
  <si>
    <t>+91 9876543232</t>
  </si>
  <si>
    <t>+91 9876543233</t>
  </si>
  <si>
    <t>+91 9876543234</t>
  </si>
  <si>
    <t>+91 9876543235</t>
  </si>
  <si>
    <t>+91 9876543236</t>
  </si>
  <si>
    <t>+91 9876543237</t>
  </si>
  <si>
    <t>+91 9876543238</t>
  </si>
  <si>
    <t>+91 9876543239</t>
  </si>
  <si>
    <t>+91 9876543240</t>
  </si>
  <si>
    <t>+91 9876543241</t>
  </si>
  <si>
    <t>+91 9876543242</t>
  </si>
  <si>
    <t>+91 9876543243</t>
  </si>
  <si>
    <t>+91 9876543244</t>
  </si>
  <si>
    <t>+91 9876543245</t>
  </si>
  <si>
    <t>+91 9876543246</t>
  </si>
  <si>
    <t>+91 9876543247</t>
  </si>
  <si>
    <t>+91 9876543248</t>
  </si>
  <si>
    <t>+91 9876543249</t>
  </si>
  <si>
    <t>+91 9876543250</t>
  </si>
  <si>
    <t>+91 9876543251</t>
  </si>
  <si>
    <t>+91 9876543252</t>
  </si>
  <si>
    <t>+91 9876543253</t>
  </si>
  <si>
    <t>+91 9876543254</t>
  </si>
  <si>
    <t>+91 9876543255</t>
  </si>
  <si>
    <t>+91 9876543256</t>
  </si>
  <si>
    <t>+91 9876543257</t>
  </si>
  <si>
    <t>+91 9876543258</t>
  </si>
  <si>
    <t>+91 9876543259</t>
  </si>
  <si>
    <t>+91 9876543260</t>
  </si>
  <si>
    <t>+91 9876543261</t>
  </si>
  <si>
    <t>+91 9876543262</t>
  </si>
  <si>
    <t>+91 9876543263</t>
  </si>
  <si>
    <t>+91 9876543264</t>
  </si>
  <si>
    <t>+91 9876543265</t>
  </si>
  <si>
    <t>+91 9876543266</t>
  </si>
  <si>
    <t>+91 9876543267</t>
  </si>
  <si>
    <t>+91 9876543268</t>
  </si>
  <si>
    <t>+91 9876543269</t>
  </si>
  <si>
    <t>+91 9876543270</t>
  </si>
  <si>
    <t>+91 9876543271</t>
  </si>
  <si>
    <t>+91 9876543272</t>
  </si>
  <si>
    <t>+91 9876543273</t>
  </si>
  <si>
    <t>+91 9876543274</t>
  </si>
  <si>
    <t>+91 9876543275</t>
  </si>
  <si>
    <t>+91 9876543276</t>
  </si>
  <si>
    <t>+91 9876543277</t>
  </si>
  <si>
    <t>+91 9876543278</t>
  </si>
  <si>
    <t>+91 9876543279</t>
  </si>
  <si>
    <t>+91 9876543280</t>
  </si>
  <si>
    <t>+91 9876543281</t>
  </si>
  <si>
    <t>+91 9876543282</t>
  </si>
  <si>
    <t>+91 9876543283</t>
  </si>
  <si>
    <t>+91 9876543284</t>
  </si>
  <si>
    <t>+91 9876543285</t>
  </si>
  <si>
    <t>+91 9876543286</t>
  </si>
  <si>
    <t>+91 9876543287</t>
  </si>
  <si>
    <t>+91 9876543288</t>
  </si>
  <si>
    <t>+91 9876543289</t>
  </si>
  <si>
    <t>+91 9876543290</t>
  </si>
  <si>
    <t>+91 9876543291</t>
  </si>
  <si>
    <t>+91 9876543292</t>
  </si>
  <si>
    <t>+91 9876543293</t>
  </si>
  <si>
    <t>+91 9876543294</t>
  </si>
  <si>
    <t>+91 9876543295</t>
  </si>
  <si>
    <t>+91 9876543296</t>
  </si>
  <si>
    <t>+91 9876543297</t>
  </si>
  <si>
    <t>+91 9876543298</t>
  </si>
  <si>
    <t>+91 9876543299</t>
  </si>
  <si>
    <t>+91 9876543300</t>
  </si>
  <si>
    <t>+91 9876543301</t>
  </si>
  <si>
    <t>+91 9876543302</t>
  </si>
  <si>
    <t>+91 9876543303</t>
  </si>
  <si>
    <t>+91 9876543304</t>
  </si>
  <si>
    <t>+91 9876543305</t>
  </si>
  <si>
    <t>+91 9876543306</t>
  </si>
  <si>
    <t>+91 9876543307</t>
  </si>
  <si>
    <t>+91 9876543308</t>
  </si>
  <si>
    <t>+91 9876543309</t>
  </si>
  <si>
    <t>+91 9876543310</t>
  </si>
  <si>
    <t>+91 9876543311</t>
  </si>
  <si>
    <t>+91 9876543312</t>
  </si>
  <si>
    <t>+91 9876543313</t>
  </si>
  <si>
    <t>+91 9876543314</t>
  </si>
  <si>
    <t>+91 9876543315</t>
  </si>
  <si>
    <t>+91 9876543316</t>
  </si>
  <si>
    <t>+91 9876543317</t>
  </si>
  <si>
    <t>+91 9876543318</t>
  </si>
  <si>
    <t>+91 9876543319</t>
  </si>
  <si>
    <t>+91 9876543320</t>
  </si>
  <si>
    <t>+91 9876543321</t>
  </si>
  <si>
    <t>+91 9876543322</t>
  </si>
  <si>
    <t>+91 9876543323</t>
  </si>
  <si>
    <t>+91 9876543324</t>
  </si>
  <si>
    <t>+91 9876543325</t>
  </si>
  <si>
    <t>+91 9876543326</t>
  </si>
  <si>
    <t>+91 9876543327</t>
  </si>
  <si>
    <t>+91 9876543328</t>
  </si>
  <si>
    <t>+91 9876543329</t>
  </si>
  <si>
    <t>+91 9876543330</t>
  </si>
  <si>
    <t>+91 9876543331</t>
  </si>
  <si>
    <t>+91 9876543332</t>
  </si>
  <si>
    <t>+91 9876543333</t>
  </si>
  <si>
    <t>+91 9876543334</t>
  </si>
  <si>
    <t>+91 9876543335</t>
  </si>
  <si>
    <t>+91 9876543336</t>
  </si>
  <si>
    <t>+91 9876543337</t>
  </si>
  <si>
    <t>+91 9876543338</t>
  </si>
  <si>
    <t>+91 9876543339</t>
  </si>
  <si>
    <t>+91 9876543340</t>
  </si>
  <si>
    <t>+91 9876543341</t>
  </si>
  <si>
    <t>+91 9876543342</t>
  </si>
  <si>
    <t>+91 9876543343</t>
  </si>
  <si>
    <t>+91 9876543344</t>
  </si>
  <si>
    <t>+91 9876543345</t>
  </si>
  <si>
    <t>+91 9876543346</t>
  </si>
  <si>
    <t>+91 9876543347</t>
  </si>
  <si>
    <t>+91 9876543348</t>
  </si>
  <si>
    <t>+91 9876543349</t>
  </si>
  <si>
    <t>+91 9876543350</t>
  </si>
  <si>
    <t>+91 9876543351</t>
  </si>
  <si>
    <t>+91 9876543352</t>
  </si>
  <si>
    <t>+91 9876543353</t>
  </si>
  <si>
    <t>+91 9876543354</t>
  </si>
  <si>
    <t>+91 9876543355</t>
  </si>
  <si>
    <t>+91 9876543356</t>
  </si>
  <si>
    <t>+91 9876543357</t>
  </si>
  <si>
    <t>+91 9876543358</t>
  </si>
  <si>
    <t>+91 9876543359</t>
  </si>
  <si>
    <t>+91 9876543360</t>
  </si>
  <si>
    <t>+91 9876543361</t>
  </si>
  <si>
    <t>+91 9876543362</t>
  </si>
  <si>
    <t>+91 9876543363</t>
  </si>
  <si>
    <t>+91 9876543364</t>
  </si>
  <si>
    <t>+91 9876543365</t>
  </si>
  <si>
    <t>+91 9876543366</t>
  </si>
  <si>
    <t>+91 9876543367</t>
  </si>
  <si>
    <t>+91 9876543368</t>
  </si>
  <si>
    <t>+91 9876543369</t>
  </si>
  <si>
    <t>+91 9876543370</t>
  </si>
  <si>
    <t>+91 9876543371</t>
  </si>
  <si>
    <t>+91 9876543372</t>
  </si>
  <si>
    <t>+91 9876543373</t>
  </si>
  <si>
    <t>+91 9876543374</t>
  </si>
  <si>
    <t>+91 9876543375</t>
  </si>
  <si>
    <t>+91 9876543376</t>
  </si>
  <si>
    <t>+91 9876543377</t>
  </si>
  <si>
    <t>+91 9876543378</t>
  </si>
  <si>
    <t>+91 9876543379</t>
  </si>
  <si>
    <t>+91 9876543380</t>
  </si>
  <si>
    <t>+91 9876543381</t>
  </si>
  <si>
    <t>+91 9876543382</t>
  </si>
  <si>
    <t>+91 9876543383</t>
  </si>
  <si>
    <t>+91 9876543384</t>
  </si>
  <si>
    <t>+91 9876543385</t>
  </si>
  <si>
    <t>+91 9876543386</t>
  </si>
  <si>
    <t>+91 9876543387</t>
  </si>
  <si>
    <t>+91 9876543388</t>
  </si>
  <si>
    <t>+91 9876543389</t>
  </si>
  <si>
    <t>+91 9876543390</t>
  </si>
  <si>
    <t>+91 9876543391</t>
  </si>
  <si>
    <t>+91 9876543392</t>
  </si>
  <si>
    <t>+91 9876543393</t>
  </si>
  <si>
    <t>+91 9876543394</t>
  </si>
  <si>
    <t>+91 9876543395</t>
  </si>
  <si>
    <t>+91 9876543396</t>
  </si>
  <si>
    <t>12/A, Green Avenue, New Delhi, 110001</t>
  </si>
  <si>
    <t>45/B, Lotus Road, Mumbai, 400001</t>
  </si>
  <si>
    <t>78/C, Rose Street, Kolkata, 700001</t>
  </si>
  <si>
    <t>90/D, Lotus Colony, Bangalore, 560001</t>
  </si>
  <si>
    <t>23/E, Jasmine Nagar, Hyderabad, 500001</t>
  </si>
  <si>
    <t>67/F, Tulip Lane, Chennai, 600001</t>
  </si>
  <si>
    <t>34/G, Orchid Avenue, Pune, 411001</t>
  </si>
  <si>
    <t>56/H, Lily Lane, Ahmedabad, 380001</t>
  </si>
  <si>
    <t>89/I, Marigold Street, Jaipur, 302001</t>
  </si>
  <si>
    <t>78/J, Sunflower Road, Chandigarh, 160001</t>
  </si>
  <si>
    <t>45/K, Bluebell Avenue, Lucknow, 226001</t>
  </si>
  <si>
    <t>56/L, Lavender Lane, Indore, 452001</t>
  </si>
  <si>
    <t>23/M, Magnolia Road, Bhopal, 462001</t>
  </si>
  <si>
    <t>67/N, Narcissus Street, Patna, 800001</t>
  </si>
  <si>
    <t>34/O, Orchid Lane, Kanpur, 208001</t>
  </si>
  <si>
    <t>78/P, Petunia Avenue, Thane, 400601</t>
  </si>
  <si>
    <t>89/Q, Quince Street, Nagpur, 440001</t>
  </si>
  <si>
    <t>78/R, Rosemary Road, Visakhapatnam, 530001</t>
  </si>
  <si>
    <t>45/S, Sunflower Lane, Ludhiana, 141001</t>
  </si>
  <si>
    <t>56/T, Tamarind Avenue, Agra, 282001</t>
  </si>
  <si>
    <t>23/U, Utopia Lane, Vadodara, 390001</t>
  </si>
  <si>
    <t>67/V, Violet Street, Varanasi, 221001</t>
  </si>
  <si>
    <t>34/W, Willow Road, Ranchi, 834001</t>
  </si>
  <si>
    <t>78/X, Xylophone Avenue, Allahabad, 211001</t>
  </si>
  <si>
    <t>89/Y, Yew Lane, Coimbatore, 641001</t>
  </si>
  <si>
    <t>78/Z, Zinnia Street, Madurai, 625001</t>
  </si>
  <si>
    <t>45/AA, Acacia Avenue, Guwahati, 781001</t>
  </si>
  <si>
    <t>56/AB, Bluebell Street, Kochi, 682001</t>
  </si>
  <si>
    <t>23/AC, Camellia Road, Jodhpur, 342001</t>
  </si>
  <si>
    <t>67/AD, Dahlia Lane, Raipur, 492001</t>
  </si>
  <si>
    <t>34/AE, Ebony Street, Srinagar, 190001</t>
  </si>
  <si>
    <t>78/AF, Fern Lane, Amritsar, 143001</t>
  </si>
  <si>
    <t>89/AG, Gardenia Avenue, Shimla, 171001</t>
  </si>
  <si>
    <t>78/AH, Hibiscus Road, Dehradun, 248001</t>
  </si>
  <si>
    <t>45/AI, Iris Street, Noida, 201301</t>
  </si>
  <si>
    <t>56/AJ, Jasmine Lane, Gurgaon, 122001</t>
  </si>
  <si>
    <t>23/AK, Kingfisher Road, Faridabad, 121001</t>
  </si>
  <si>
    <t>67/AL, Larkspur Street, Ghaziabad, 201001</t>
  </si>
  <si>
    <t>34/AM, Marigold Lane, Meerut, 250001</t>
  </si>
  <si>
    <t>78/AN, Narcissus Avenue, Panaji, 403001</t>
  </si>
  <si>
    <t>89/AO, Oleander Road, Patiala, 147001</t>
  </si>
  <si>
    <t>78/AP, Petunia Lane, Puducherry, 605001</t>
  </si>
  <si>
    <t>45/AQ, Quince Lane, Rajkot, 360001</t>
  </si>
  <si>
    <t>56/AR, Rosewood Street, Surat, 395001</t>
  </si>
  <si>
    <t>23/AS, Sunflower Road, Udaipur, 313001</t>
  </si>
  <si>
    <t>67/AT, Tulip Street, Vellore, 632001</t>
  </si>
  <si>
    <t>34/AU, Utopia Road, Warangal, 506001</t>
  </si>
  <si>
    <t>78/AV, Verbena Lane, Durgapur, 713201</t>
  </si>
  <si>
    <t>89/AW, Water Lily Avenue, Bareilly, 243001</t>
  </si>
  <si>
    <t>78/AX, Xylophone Street, Bhavnagar, 364001</t>
  </si>
  <si>
    <t>45/AY, Yarrow Lane, Bikaner, 334001</t>
  </si>
  <si>
    <t>56/AZ, Zinnia Road, Bilaspur, 495001</t>
  </si>
  <si>
    <t>23/BA, Azalea Street, Dhanbad, 826001</t>
  </si>
  <si>
    <t>67/BB, Bluebell Lane, Firozabad, 283203</t>
  </si>
  <si>
    <t>34/BC, Chrysanthemum Road, Guntur, 522001</t>
  </si>
  <si>
    <t>78/BD, Dahlia Street, Jabalpur, 482001</t>
  </si>
  <si>
    <t>89/BE, Ebony Lane, Jalandhar, 144001</t>
  </si>
  <si>
    <t>78/BF, Frangipani Avenue, Kakinada, 533001</t>
  </si>
  <si>
    <t>45/BG, Geranium Lane, Kollam, 691001</t>
  </si>
  <si>
    <t>56/BH, Honeysuckle Street, Mysore, 570001</t>
  </si>
  <si>
    <t>23/BI, Ixora Road, Raichur, 584101</t>
  </si>
  <si>
    <t>67/BJ, Jasmine Avenue, Shimoga, 577201</t>
  </si>
  <si>
    <t>34/BK, Kale Road, Thanjavur, 613001</t>
  </si>
  <si>
    <t>78/BL, Lily Street, Tiruchirappalli, 620001</t>
  </si>
  <si>
    <t>89/BM, Magnolia Lane, Tirunelveli, 627001</t>
  </si>
  <si>
    <t>78/BN, Nasturtium Avenue, Tirupati, 517501</t>
  </si>
  <si>
    <t>45/BO, Orchid Street, Vatakara, 673101</t>
  </si>
  <si>
    <t>56/BP, Petal Lane, Vrindavan, 281121</t>
  </si>
  <si>
    <t>23/BQ, Quince Road, Nadiad, 387001</t>
  </si>
  <si>
    <t>67/BR, Rose Lane, Nainital, 263001</t>
  </si>
  <si>
    <t>34/BS, Sunflower Avenue, Neemuch, 458441</t>
  </si>
  <si>
    <t>78/BT, Tulip Road, Ongole, 523001</t>
  </si>
  <si>
    <t>89/BU, Utopia Street, Palakkad, 678001</t>
  </si>
  <si>
    <t>78/BV, Verbena Road, Pallavaram, 600043</t>
  </si>
  <si>
    <t>45/BW, Water Lily Street, Panchkula, 134109</t>
  </si>
  <si>
    <t>56/BX, Xylophone Lane, Puri, 752001</t>
  </si>
  <si>
    <t>23/BY, Yarrow Street, Ramanathapuram, 623501</t>
  </si>
  <si>
    <t>67/BZ, Zinnia Lane, Ratlam, 457001</t>
  </si>
  <si>
    <t>34/CA, Acacia Road, Rewa, 486001</t>
  </si>
  <si>
    <t>78/CB, Bluebell Avenue, Rewari, 123401</t>
  </si>
  <si>
    <t>89/CC, Camellia Lane, Rohtak, 124001</t>
  </si>
  <si>
    <t>78/CD, Dahlia Road, Rourkela, 769001</t>
  </si>
  <si>
    <t>45/CE, Ebony Avenue, Rourkela, 769014</t>
  </si>
  <si>
    <t>56/CF, Frangipani Street, Sagar, 470001</t>
  </si>
  <si>
    <t>23/CG, Gardenia Lane, Saharanpur, 247001</t>
  </si>
  <si>
    <t>67/CH, Hibiscus Street, Salem, 636001</t>
  </si>
  <si>
    <t>34/CI, Ixora Avenue, Satara, 415001</t>
  </si>
  <si>
    <t>78/CJ, Jasmine Road, Satna, 485001</t>
  </si>
  <si>
    <t>89/CK, Kale Street, Shillong, 793001</t>
  </si>
  <si>
    <t>78/CL, Lily Avenue, Siliguri, 734001</t>
  </si>
  <si>
    <t>45/CM, Magnolia Street, Sirsa, 125055</t>
  </si>
  <si>
    <t>56/CN, Narcissus Lane, Sonipat, 131001</t>
  </si>
  <si>
    <t>23/CO, Oleander Avenue, Srinagar, 190001</t>
  </si>
  <si>
    <t>67/CP, Petunia Street, Surat, 395001</t>
  </si>
  <si>
    <t>34/CQ, Quince Avenue, Tenali, 522201</t>
  </si>
  <si>
    <t>78/CR, Rosemary Lane, Thanjavur, 613001</t>
  </si>
  <si>
    <t>89/CS, Sunflower Street, Thoothukudi, 628001</t>
  </si>
  <si>
    <t>78/CT, Tulip Avenue, Tiruppur, 641601</t>
  </si>
  <si>
    <t>45/CU, Utopia Lane, Trichy, 620001</t>
  </si>
  <si>
    <t>56/CV, Verbena Street, Tumkur, 572101</t>
  </si>
  <si>
    <t>23/CW, Water Lily Lane, Tura, 794101</t>
  </si>
  <si>
    <t>67/CX, Xylophone Avenue, Ujjain, 456010</t>
  </si>
  <si>
    <t>34/CY, Yew Road, Valsad, 396001</t>
  </si>
  <si>
    <t>78/CZ, Zinnia Street, Vapi, 396195</t>
  </si>
  <si>
    <t>89/DA, Azalea Lane, Varanasi, 221001</t>
  </si>
  <si>
    <t>78/DB, Bluebell Road, Vellore, 632001</t>
  </si>
  <si>
    <t>45/DC, Camellia Street, Vijayawada, 520001</t>
  </si>
  <si>
    <t>56/DD, Dahlia Avenue, Warangal, 506001</t>
  </si>
  <si>
    <t>23/DE, Ebony Lane, Yamunanagar, 135001</t>
  </si>
  <si>
    <t>67/DF, Frangipani Road, Yavatmal, 445001</t>
  </si>
  <si>
    <t>34/DG, Gardenia Street, Ajmer, 305001</t>
  </si>
  <si>
    <t>78/DH, Hibiscus Lane, Alappuzha, 688001</t>
  </si>
  <si>
    <t>89/DI, Ixora Avenue, Aligarh, 202001</t>
  </si>
  <si>
    <t>78/DJ, Jasmine Street, Amravati, 444601</t>
  </si>
  <si>
    <t>45/DK, Kale Lane, Anand, 388001</t>
  </si>
  <si>
    <t>56/DL, Lily Road, Anantapur, 515001</t>
  </si>
  <si>
    <t>23/DM, Magnolia Avenue, Ankleshwar, 393001</t>
  </si>
  <si>
    <t>67/DN, Narcissus Road, Arrah, 802301</t>
  </si>
  <si>
    <t>34/DO, Oleander Street, Asansol, 713301</t>
  </si>
  <si>
    <t>78/DP, Petunia Lane, Baharampur, 742101</t>
  </si>
  <si>
    <t>89/DQ, Quince Road, Bardhaman, 713101</t>
  </si>
  <si>
    <t>78/DR, Rosewood Lane, Baripada, 757001</t>
  </si>
  <si>
    <t>45/DS, Sunflower Street, Begusarai, 851101</t>
  </si>
  <si>
    <t>56/DT, Tulip Road, Berhampur, 760001</t>
  </si>
  <si>
    <t>23/DU, Utopia Lane, Bhilai, 490001</t>
  </si>
  <si>
    <t>67/DV, Verbena Avenue, Bhilwara, 311001</t>
  </si>
  <si>
    <t>34/DW, Water Lily Street, Bhiwandi, 421302</t>
  </si>
  <si>
    <t>78/DX, Xylophone Road, Bhuj, 370001</t>
  </si>
  <si>
    <t>89/DY, Yarrow Lane, Bikaner, 334001</t>
  </si>
  <si>
    <t>78/DZ, Zinnia Avenue, Bilaspur, 495001</t>
  </si>
  <si>
    <t>45/EA, Acacia Street, Bongaigaon, 783380</t>
  </si>
  <si>
    <t>56/EB, Bluebell Lane, Chandannagar, 712136</t>
  </si>
  <si>
    <t>23/EC, Camellia Avenue, Chapra, 841301</t>
  </si>
  <si>
    <t>67/ED, Dahlia Road, Chhindwara, 480001</t>
  </si>
  <si>
    <t>34/EE, Ebony Street, Chittoor, 517001</t>
  </si>
  <si>
    <t>78/EF, Frangipani Lane, Cuttack, 753001</t>
  </si>
  <si>
    <t>89/EG, Gardenia Road, Daman, 396210</t>
  </si>
  <si>
    <t>78/EH, Hibiscus Street, Darbhanga, 846004</t>
  </si>
  <si>
    <t>45/EI, Ixora Lane, Dharmapuri, 636701</t>
  </si>
  <si>
    <t>56/EJ, Jasmine Road, Dibrugarh, 786001</t>
  </si>
  <si>
    <t>23/EK, Kale Avenue, Dimapur, 797112</t>
  </si>
  <si>
    <t>67/EL, Lily Lane, Durg, 491001</t>
  </si>
  <si>
    <t>34/EM, Magnolia Street, Eluru, 534001</t>
  </si>
  <si>
    <t>78/EN, Narcissus Lane, Erode, 638001</t>
  </si>
  <si>
    <t>89/EO, Oleander Road, Etawah, 206001</t>
  </si>
  <si>
    <t>78/EP, Petunia Avenue, Firozabad, 283203</t>
  </si>
  <si>
    <t>45/EQ, Quince Lane, Gadag, 582101</t>
  </si>
  <si>
    <t>56/ER, Rosewood Street, Gandhidham, 370201</t>
  </si>
  <si>
    <t>23/ES, Sunflower Road, Gaya, 823001</t>
  </si>
  <si>
    <t>67/ET, Tulip Avenue, Giridih, 815301</t>
  </si>
  <si>
    <t>34/EU, Utopia Street, Godhra, 389001</t>
  </si>
  <si>
    <t>78/EV, Verbena Road, Gondia, 441601</t>
  </si>
  <si>
    <t>89/EW, Water Lily Lane, Guna, 473001</t>
  </si>
  <si>
    <t>78/EX, Xylophone Street, Guntakal, 515801</t>
  </si>
  <si>
    <t>45/EY, Yarrow Lane, Guntur, 522001</t>
  </si>
  <si>
    <t>56/EZ, Zinnia Road, Hajipur, 844101</t>
  </si>
  <si>
    <t>23/FA, Azalea Street, Haldwani, 263139</t>
  </si>
  <si>
    <t>67/FB, Bluebell Lane, Hanumangarh, 335513</t>
  </si>
  <si>
    <t>34/FC, Camellia Road, Hapur, 245101</t>
  </si>
  <si>
    <t>78/FD, Dahlia Lane, Hassan, 573201</t>
  </si>
  <si>
    <t>89/FE, Ebony Avenue, Hinganghat, 442301</t>
  </si>
  <si>
    <t>78/FF, Frangipani Street, Hoshiarpur, 146001</t>
  </si>
  <si>
    <t>45/FG, Gardenia Lane, Hosur, 635109</t>
  </si>
  <si>
    <t>56/FH, Hibiscus Street, Haldia, 721602</t>
  </si>
  <si>
    <t>23/FI, Ixora Road, Ichalkaranji, 416115</t>
  </si>
  <si>
    <t>67/FJ, Jasmine Avenue, Imphal, 795001</t>
  </si>
  <si>
    <t>34/FK, Kale Street, Itanagar, 791111</t>
  </si>
  <si>
    <t>78/FL, Lily Road, Jagdalpur, 494001</t>
  </si>
  <si>
    <t>89/FM, Magnolia Avenue, Jalgaon, 425001</t>
  </si>
  <si>
    <t>78/FN, Narcissus Street, Jalna, 431203</t>
  </si>
  <si>
    <t>45/FO, Oleander Lane, Jalore, 343001</t>
  </si>
  <si>
    <t>56/FP, Petal Street, Jamalpur, 811214</t>
  </si>
  <si>
    <t>23/FQ, Quince Road, Jamnagar, 361001</t>
  </si>
  <si>
    <t>67/FR, Rosewood Lane, Jamshedpur, 831001</t>
  </si>
  <si>
    <t>34/FS, Sunflower Avenue, Jhansi, 284001</t>
  </si>
  <si>
    <t>78/FT, Tulip Road, Jhunjhunu, 333001</t>
  </si>
  <si>
    <t>89/FU, Utopia Street, Jodhpur, 342001</t>
  </si>
  <si>
    <t>78/FV, Verbena Lane, Junagadh, 362001</t>
  </si>
  <si>
    <t>45/FW, Water Lily Street, Kadapa, 516001</t>
  </si>
  <si>
    <t>56/FX, Xylophone Avenue, Kakinada, 533001</t>
  </si>
  <si>
    <t>23/FY, Yarrow Road, Kalyan-Dombivli, 421301</t>
  </si>
  <si>
    <t>67/FZ, Zinnia Lane, Kanchipuram, 631501</t>
  </si>
  <si>
    <t>34/GA, Azalea Street, Kannur, 670001</t>
  </si>
  <si>
    <t>78/GB, Bluebell Lane, Kharagpur, 721301</t>
  </si>
  <si>
    <t>89/GC, Camellia Road, Kishanganj, 855107</t>
  </si>
  <si>
    <t>78/GD, Dahlia Lane, Kottayam, 686001</t>
  </si>
  <si>
    <t>45/GE, Ebony Avenue, Kozhikode, 673001</t>
  </si>
  <si>
    <t>OrderID</t>
  </si>
  <si>
    <t>Order Date</t>
  </si>
  <si>
    <t>Order Time</t>
  </si>
  <si>
    <t>ItemID</t>
  </si>
  <si>
    <t>Shiping Agent</t>
  </si>
  <si>
    <t>Quatity</t>
  </si>
  <si>
    <t>Discount</t>
  </si>
  <si>
    <t>Total Price</t>
  </si>
  <si>
    <t>Mode Of Payment</t>
  </si>
  <si>
    <t>Dispatch Time</t>
  </si>
  <si>
    <t>Delivery Time</t>
  </si>
  <si>
    <t>Order Status</t>
  </si>
  <si>
    <t>ID</t>
  </si>
  <si>
    <t>LOCATION</t>
  </si>
  <si>
    <t>NAME</t>
  </si>
  <si>
    <t>abc</t>
  </si>
  <si>
    <t>cdw</t>
  </si>
  <si>
    <t>dfd</t>
  </si>
  <si>
    <t>xvfd</t>
  </si>
  <si>
    <t>svv</t>
  </si>
  <si>
    <t>sfv</t>
  </si>
  <si>
    <t>sg</t>
  </si>
  <si>
    <t>vgd</t>
  </si>
  <si>
    <t>vb</t>
  </si>
  <si>
    <t>xe</t>
  </si>
  <si>
    <t>bfr</t>
  </si>
  <si>
    <t>deth</t>
  </si>
  <si>
    <t>dgs</t>
  </si>
  <si>
    <t>vbh</t>
  </si>
  <si>
    <t>serg</t>
  </si>
  <si>
    <t>dfrhu</t>
  </si>
  <si>
    <t>sdhu</t>
  </si>
  <si>
    <t>sdu</t>
  </si>
  <si>
    <t>asefrn</t>
  </si>
  <si>
    <t>asfbe'</t>
  </si>
  <si>
    <t>adefrh'a</t>
  </si>
  <si>
    <t>agt</t>
  </si>
  <si>
    <t>vfr</t>
  </si>
  <si>
    <t>cvds</t>
  </si>
  <si>
    <t>vbfd</t>
  </si>
  <si>
    <t>vdfs</t>
  </si>
  <si>
    <t>sdgv</t>
  </si>
  <si>
    <t>sedf</t>
  </si>
  <si>
    <t>seg</t>
  </si>
  <si>
    <t>byk</t>
  </si>
  <si>
    <t>Total Dlv Time</t>
  </si>
  <si>
    <t>Discounted Price</t>
  </si>
  <si>
    <t>COD</t>
  </si>
  <si>
    <t>UPI</t>
  </si>
  <si>
    <t>Order Placed Time</t>
  </si>
  <si>
    <t>8:00:00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</si>
</sst>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7" x14ac:knownFonts="1">
    <font>
      <sz val="11"/>
      <color theme="1"/>
      <name val="Calibri"/>
      <family val="2"/>
      <scheme val="minor"/>
    </font>
    <font>
      <sz val="8"/>
      <color rgb="FF0D0D0D"/>
      <name val="Segoe UI"/>
      <family val="2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D0D0D"/>
      <name val="Segoe U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6" fontId="4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0" fillId="0" borderId="5" xfId="0" applyBorder="1"/>
    <xf numFmtId="0" fontId="1" fillId="0" borderId="6" xfId="0" applyFont="1" applyBorder="1" applyAlignment="1">
      <alignment horizontal="left" vertical="center" indent="1"/>
    </xf>
    <xf numFmtId="0" fontId="0" fillId="0" borderId="7" xfId="0" applyBorder="1"/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0" xfId="1" applyFont="1"/>
    <xf numFmtId="9" fontId="2" fillId="2" borderId="4" xfId="1" applyFont="1" applyFill="1" applyBorder="1" applyAlignment="1">
      <alignment horizontal="center"/>
    </xf>
    <xf numFmtId="9" fontId="4" fillId="0" borderId="6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9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19" fontId="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ABC15611-2C34-47E3-833E-CADBF95FC6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32D9-5090-4D1A-9585-453E43587F8E}">
  <dimension ref="B2:AC303"/>
  <sheetViews>
    <sheetView tabSelected="1" topLeftCell="Q142" zoomScale="48" workbookViewId="0">
      <selection activeCell="AJ153" sqref="AJ153"/>
    </sheetView>
  </sheetViews>
  <sheetFormatPr defaultRowHeight="14.5" x14ac:dyDescent="0.35"/>
  <cols>
    <col min="1" max="1" width="4.81640625" customWidth="1"/>
    <col min="2" max="2" width="9.81640625" bestFit="1" customWidth="1"/>
    <col min="3" max="3" width="23" bestFit="1" customWidth="1"/>
    <col min="5" max="5" width="10.81640625" style="30" customWidth="1"/>
    <col min="6" max="6" width="1.54296875" customWidth="1"/>
    <col min="7" max="8" width="15.26953125" bestFit="1" customWidth="1"/>
    <col min="9" max="9" width="13.453125" bestFit="1" customWidth="1"/>
    <col min="10" max="10" width="33.453125" bestFit="1" customWidth="1"/>
    <col min="11" max="11" width="2.08984375" customWidth="1"/>
    <col min="12" max="12" width="10.26953125" bestFit="1" customWidth="1"/>
    <col min="13" max="13" width="14.1796875" bestFit="1" customWidth="1"/>
    <col min="14" max="14" width="14.453125" bestFit="1" customWidth="1"/>
    <col min="15" max="15" width="8.90625" bestFit="1" customWidth="1"/>
    <col min="16" max="16" width="15.36328125" bestFit="1" customWidth="1"/>
    <col min="17" max="17" width="17.54296875" bestFit="1" customWidth="1"/>
    <col min="18" max="18" width="9.90625" bestFit="1" customWidth="1"/>
    <col min="19" max="19" width="41.6328125" bestFit="1" customWidth="1"/>
    <col min="20" max="20" width="28.26953125" bestFit="1" customWidth="1"/>
    <col min="21" max="21" width="11.453125" bestFit="1" customWidth="1"/>
    <col min="22" max="22" width="13.6328125" bestFit="1" customWidth="1"/>
    <col min="23" max="23" width="20.453125" bestFit="1" customWidth="1"/>
    <col min="24" max="24" width="22.7265625" bestFit="1" customWidth="1"/>
    <col min="25" max="25" width="22.7265625" style="38" customWidth="1"/>
    <col min="26" max="26" width="18" bestFit="1" customWidth="1"/>
    <col min="27" max="27" width="17.26953125" bestFit="1" customWidth="1"/>
    <col min="28" max="28" width="17.26953125" customWidth="1"/>
    <col min="29" max="29" width="16" bestFit="1" customWidth="1"/>
  </cols>
  <sheetData>
    <row r="2" spans="2:29" ht="15" thickBot="1" x14ac:dyDescent="0.4"/>
    <row r="3" spans="2:29" ht="19.5" x14ac:dyDescent="0.45">
      <c r="B3" s="2" t="s">
        <v>0</v>
      </c>
      <c r="C3" s="3" t="s">
        <v>1</v>
      </c>
      <c r="D3" s="3" t="s">
        <v>2</v>
      </c>
      <c r="E3" s="31" t="s">
        <v>3</v>
      </c>
      <c r="G3" s="2" t="s">
        <v>288</v>
      </c>
      <c r="H3" s="3" t="s">
        <v>289</v>
      </c>
      <c r="I3" s="3" t="s">
        <v>290</v>
      </c>
      <c r="J3" s="4" t="s">
        <v>291</v>
      </c>
      <c r="L3" s="18" t="s">
        <v>666</v>
      </c>
      <c r="M3" s="19" t="s">
        <v>667</v>
      </c>
      <c r="N3" s="19" t="s">
        <v>668</v>
      </c>
      <c r="O3" s="19" t="s">
        <v>669</v>
      </c>
      <c r="P3" s="19" t="s">
        <v>288</v>
      </c>
      <c r="Q3" s="19" t="s">
        <v>670</v>
      </c>
      <c r="R3" s="19" t="s">
        <v>671</v>
      </c>
      <c r="S3" s="19" t="s">
        <v>291</v>
      </c>
      <c r="T3" s="19" t="s">
        <v>2</v>
      </c>
      <c r="U3" s="19" t="s">
        <v>672</v>
      </c>
      <c r="V3" s="19" t="s">
        <v>673</v>
      </c>
      <c r="W3" s="19" t="s">
        <v>712</v>
      </c>
      <c r="X3" s="19" t="s">
        <v>674</v>
      </c>
      <c r="Y3" s="19" t="s">
        <v>715</v>
      </c>
      <c r="Z3" s="19" t="s">
        <v>675</v>
      </c>
      <c r="AA3" s="19" t="s">
        <v>676</v>
      </c>
      <c r="AB3" s="19" t="s">
        <v>711</v>
      </c>
      <c r="AC3" s="20" t="s">
        <v>677</v>
      </c>
    </row>
    <row r="4" spans="2:29" ht="16" x14ac:dyDescent="0.35">
      <c r="B4" s="5">
        <v>1</v>
      </c>
      <c r="C4" s="6" t="s">
        <v>10</v>
      </c>
      <c r="D4" s="7">
        <v>150</v>
      </c>
      <c r="E4" s="32" t="str">
        <f>IF($D4&gt;=200,"20%",IF($D4&gt;=150,"10%",IF($D4&gt;=100,"5%",IF($D4&lt;=100,"0"))))</f>
        <v>10%</v>
      </c>
      <c r="G4" s="12">
        <v>1</v>
      </c>
      <c r="H4" s="11" t="s">
        <v>107</v>
      </c>
      <c r="I4" s="11" t="s">
        <v>292</v>
      </c>
      <c r="J4" s="13" t="s">
        <v>479</v>
      </c>
      <c r="L4" s="21">
        <v>1</v>
      </c>
      <c r="M4" s="22">
        <v>44927</v>
      </c>
      <c r="N4" s="23"/>
      <c r="O4" s="23">
        <f ca="1">RANDBETWEEN(1,100)</f>
        <v>78</v>
      </c>
      <c r="P4" s="23">
        <f ca="1">RANDBETWEEN(1,187)</f>
        <v>82</v>
      </c>
      <c r="Q4" s="23">
        <f ca="1">RANDBETWEEN(100,170)</f>
        <v>105</v>
      </c>
      <c r="R4" s="23">
        <f ca="1">RANDBETWEEN(1,10)</f>
        <v>5</v>
      </c>
      <c r="S4" s="23" t="str">
        <f ca="1">VLOOKUP($P4,$G$3:$J$190,4,0)</f>
        <v>78/CD, Dahlia Road, Rourkela, 769001</v>
      </c>
      <c r="T4" s="23">
        <f ca="1">VLOOKUP($O4,$B$3:$E$106,3,0)</f>
        <v>90</v>
      </c>
      <c r="U4" s="33" t="str">
        <f ca="1">VLOOKUP($O4,$B$3:$E$106,4,0)</f>
        <v>0</v>
      </c>
      <c r="V4" s="29">
        <f ca="1">$R4*$T4</f>
        <v>450</v>
      </c>
      <c r="W4" s="29">
        <f ca="1">V4-(V4*U4)</f>
        <v>450</v>
      </c>
      <c r="X4" s="23" t="s">
        <v>713</v>
      </c>
      <c r="Y4" s="39" t="s">
        <v>716</v>
      </c>
      <c r="Z4" s="34">
        <v>0.34733796296296299</v>
      </c>
      <c r="AA4" s="23"/>
      <c r="AB4" s="23"/>
      <c r="AC4" s="24"/>
    </row>
    <row r="5" spans="2:29" ht="16" x14ac:dyDescent="0.35">
      <c r="B5" s="5">
        <f>B4+1</f>
        <v>2</v>
      </c>
      <c r="C5" s="6" t="s">
        <v>5</v>
      </c>
      <c r="D5" s="7">
        <v>180</v>
      </c>
      <c r="E5" s="32" t="str">
        <f t="shared" ref="E5:E68" si="0">IF($D5&gt;=200,"20%",IF($D5&gt;=150,"10%",IF($D5&gt;=100,"5%",IF($D5&lt;=100,"0"))))</f>
        <v>10%</v>
      </c>
      <c r="G5" s="12">
        <f>G4+1</f>
        <v>2</v>
      </c>
      <c r="H5" s="11" t="s">
        <v>108</v>
      </c>
      <c r="I5" s="11" t="s">
        <v>293</v>
      </c>
      <c r="J5" s="13" t="s">
        <v>480</v>
      </c>
      <c r="L5" s="21">
        <v>2</v>
      </c>
      <c r="M5" s="22">
        <v>44927</v>
      </c>
      <c r="N5" s="23"/>
      <c r="O5" s="23">
        <f t="shared" ref="O5:O68" ca="1" si="1">RANDBETWEEN(1,100)</f>
        <v>20</v>
      </c>
      <c r="P5" s="23">
        <f t="shared" ref="P5:P68" ca="1" si="2">RANDBETWEEN(1,187)</f>
        <v>94</v>
      </c>
      <c r="Q5" s="23">
        <f t="shared" ref="Q5:Q68" ca="1" si="3">RANDBETWEEN(100,170)</f>
        <v>143</v>
      </c>
      <c r="R5" s="23">
        <f t="shared" ref="R5:R68" ca="1" si="4">RANDBETWEEN(1,10)</f>
        <v>8</v>
      </c>
      <c r="S5" s="23" t="str">
        <f t="shared" ref="S5:S68" ca="1" si="5">VLOOKUP($P5,$G$3:$J$190,4,0)</f>
        <v>67/CP, Petunia Street, Surat, 395001</v>
      </c>
      <c r="T5" s="23">
        <f t="shared" ref="T5:T68" ca="1" si="6">VLOOKUP($O5,$B$3:$E$106,3,0)</f>
        <v>140</v>
      </c>
      <c r="U5" s="33" t="str">
        <f t="shared" ref="U5:U68" ca="1" si="7">VLOOKUP($O5,$B$3:$E$106,4,0)</f>
        <v>5%</v>
      </c>
      <c r="V5" s="29">
        <f t="shared" ref="V5:V68" ca="1" si="8">$R5*$T5</f>
        <v>1120</v>
      </c>
      <c r="W5" s="29">
        <f t="shared" ref="W5:W68" ca="1" si="9">V5-(V5*U5)</f>
        <v>1064</v>
      </c>
      <c r="X5" s="23" t="s">
        <v>713</v>
      </c>
      <c r="Y5" s="40">
        <v>0.33402777777777776</v>
      </c>
      <c r="Z5" s="23"/>
      <c r="AA5" s="23"/>
      <c r="AB5" s="23"/>
      <c r="AC5" s="24"/>
    </row>
    <row r="6" spans="2:29" ht="16" x14ac:dyDescent="0.35">
      <c r="B6" s="5">
        <f t="shared" ref="B6:B69" si="10">B5+1</f>
        <v>3</v>
      </c>
      <c r="C6" s="6" t="s">
        <v>6</v>
      </c>
      <c r="D6" s="7">
        <v>170</v>
      </c>
      <c r="E6" s="32" t="str">
        <f t="shared" si="0"/>
        <v>10%</v>
      </c>
      <c r="G6" s="12">
        <f t="shared" ref="G6:G69" si="11">G5+1</f>
        <v>3</v>
      </c>
      <c r="H6" s="11" t="s">
        <v>109</v>
      </c>
      <c r="I6" s="11" t="s">
        <v>294</v>
      </c>
      <c r="J6" s="13" t="s">
        <v>481</v>
      </c>
      <c r="L6" s="21">
        <v>3</v>
      </c>
      <c r="M6" s="22">
        <v>44927</v>
      </c>
      <c r="N6" s="23"/>
      <c r="O6" s="23">
        <f t="shared" ca="1" si="1"/>
        <v>41</v>
      </c>
      <c r="P6" s="23">
        <f t="shared" ca="1" si="2"/>
        <v>158</v>
      </c>
      <c r="Q6" s="23">
        <f t="shared" ca="1" si="3"/>
        <v>125</v>
      </c>
      <c r="R6" s="23">
        <f t="shared" ca="1" si="4"/>
        <v>5</v>
      </c>
      <c r="S6" s="23" t="str">
        <f t="shared" ca="1" si="5"/>
        <v>67/FB, Bluebell Lane, Hanumangarh, 335513</v>
      </c>
      <c r="T6" s="23">
        <f t="shared" ca="1" si="6"/>
        <v>30</v>
      </c>
      <c r="U6" s="33" t="str">
        <f t="shared" ca="1" si="7"/>
        <v>0</v>
      </c>
      <c r="V6" s="29">
        <f t="shared" ca="1" si="8"/>
        <v>150</v>
      </c>
      <c r="W6" s="29">
        <f t="shared" ca="1" si="9"/>
        <v>150</v>
      </c>
      <c r="X6" s="23" t="s">
        <v>713</v>
      </c>
      <c r="Y6" s="40">
        <v>0.3347222222222222</v>
      </c>
      <c r="Z6" s="23"/>
      <c r="AA6" s="23"/>
      <c r="AB6" s="23"/>
      <c r="AC6" s="24"/>
    </row>
    <row r="7" spans="2:29" ht="16" x14ac:dyDescent="0.35">
      <c r="B7" s="5">
        <f t="shared" si="10"/>
        <v>4</v>
      </c>
      <c r="C7" s="6" t="s">
        <v>7</v>
      </c>
      <c r="D7" s="7">
        <v>200</v>
      </c>
      <c r="E7" s="32" t="str">
        <f t="shared" si="0"/>
        <v>20%</v>
      </c>
      <c r="G7" s="12">
        <f t="shared" si="11"/>
        <v>4</v>
      </c>
      <c r="H7" s="11" t="s">
        <v>110</v>
      </c>
      <c r="I7" s="11" t="s">
        <v>295</v>
      </c>
      <c r="J7" s="13" t="s">
        <v>482</v>
      </c>
      <c r="L7" s="21">
        <v>4</v>
      </c>
      <c r="M7" s="22">
        <v>44927</v>
      </c>
      <c r="N7" s="23"/>
      <c r="O7" s="23">
        <f t="shared" ca="1" si="1"/>
        <v>36</v>
      </c>
      <c r="P7" s="23">
        <f t="shared" ca="1" si="2"/>
        <v>118</v>
      </c>
      <c r="Q7" s="23">
        <f t="shared" ca="1" si="3"/>
        <v>117</v>
      </c>
      <c r="R7" s="23">
        <f t="shared" ca="1" si="4"/>
        <v>9</v>
      </c>
      <c r="S7" s="23" t="str">
        <f t="shared" ca="1" si="5"/>
        <v>67/DN, Narcissus Road, Arrah, 802301</v>
      </c>
      <c r="T7" s="23">
        <f t="shared" ca="1" si="6"/>
        <v>200</v>
      </c>
      <c r="U7" s="33" t="str">
        <f t="shared" ca="1" si="7"/>
        <v>20%</v>
      </c>
      <c r="V7" s="29">
        <f t="shared" ca="1" si="8"/>
        <v>1800</v>
      </c>
      <c r="W7" s="29">
        <f t="shared" ca="1" si="9"/>
        <v>1440</v>
      </c>
      <c r="X7" s="23" t="s">
        <v>713</v>
      </c>
      <c r="Y7" s="40">
        <v>0.33541666666666664</v>
      </c>
      <c r="Z7" s="23"/>
      <c r="AA7" s="23"/>
      <c r="AB7" s="23"/>
      <c r="AC7" s="24"/>
    </row>
    <row r="8" spans="2:29" ht="16" x14ac:dyDescent="0.35">
      <c r="B8" s="5">
        <f t="shared" si="10"/>
        <v>5</v>
      </c>
      <c r="C8" s="6" t="s">
        <v>8</v>
      </c>
      <c r="D8" s="7">
        <v>180</v>
      </c>
      <c r="E8" s="32" t="str">
        <f t="shared" si="0"/>
        <v>10%</v>
      </c>
      <c r="G8" s="12">
        <f t="shared" si="11"/>
        <v>5</v>
      </c>
      <c r="H8" s="11" t="s">
        <v>111</v>
      </c>
      <c r="I8" s="11" t="s">
        <v>296</v>
      </c>
      <c r="J8" s="13" t="s">
        <v>483</v>
      </c>
      <c r="L8" s="21">
        <v>5</v>
      </c>
      <c r="M8" s="22">
        <v>44927</v>
      </c>
      <c r="N8" s="23"/>
      <c r="O8" s="23">
        <f t="shared" ca="1" si="1"/>
        <v>53</v>
      </c>
      <c r="P8" s="23">
        <f t="shared" ca="1" si="2"/>
        <v>8</v>
      </c>
      <c r="Q8" s="23">
        <f t="shared" ca="1" si="3"/>
        <v>116</v>
      </c>
      <c r="R8" s="23">
        <f t="shared" ca="1" si="4"/>
        <v>5</v>
      </c>
      <c r="S8" s="23" t="str">
        <f t="shared" ca="1" si="5"/>
        <v>56/H, Lily Lane, Ahmedabad, 380001</v>
      </c>
      <c r="T8" s="23">
        <f t="shared" ca="1" si="6"/>
        <v>180</v>
      </c>
      <c r="U8" s="33" t="str">
        <f t="shared" ca="1" si="7"/>
        <v>10%</v>
      </c>
      <c r="V8" s="29">
        <f t="shared" ca="1" si="8"/>
        <v>900</v>
      </c>
      <c r="W8" s="29">
        <f t="shared" ca="1" si="9"/>
        <v>810</v>
      </c>
      <c r="X8" s="23" t="s">
        <v>713</v>
      </c>
      <c r="Y8" s="40">
        <v>0.33611111111111114</v>
      </c>
      <c r="Z8" s="23"/>
      <c r="AA8" s="23"/>
      <c r="AB8" s="23"/>
      <c r="AC8" s="24"/>
    </row>
    <row r="9" spans="2:29" ht="16" x14ac:dyDescent="0.35">
      <c r="B9" s="5">
        <f t="shared" si="10"/>
        <v>6</v>
      </c>
      <c r="C9" s="6" t="s">
        <v>9</v>
      </c>
      <c r="D9" s="7">
        <v>220</v>
      </c>
      <c r="E9" s="32" t="str">
        <f t="shared" si="0"/>
        <v>20%</v>
      </c>
      <c r="G9" s="12">
        <f t="shared" si="11"/>
        <v>6</v>
      </c>
      <c r="H9" s="11" t="s">
        <v>112</v>
      </c>
      <c r="I9" s="11" t="s">
        <v>297</v>
      </c>
      <c r="J9" s="13" t="s">
        <v>484</v>
      </c>
      <c r="L9" s="21">
        <v>6</v>
      </c>
      <c r="M9" s="22">
        <v>44927</v>
      </c>
      <c r="N9" s="23"/>
      <c r="O9" s="23">
        <f t="shared" ca="1" si="1"/>
        <v>55</v>
      </c>
      <c r="P9" s="23">
        <f t="shared" ca="1" si="2"/>
        <v>36</v>
      </c>
      <c r="Q9" s="23">
        <f t="shared" ca="1" si="3"/>
        <v>102</v>
      </c>
      <c r="R9" s="23">
        <f t="shared" ca="1" si="4"/>
        <v>2</v>
      </c>
      <c r="S9" s="23" t="str">
        <f t="shared" ca="1" si="5"/>
        <v>56/AJ, Jasmine Lane, Gurgaon, 122001</v>
      </c>
      <c r="T9" s="23">
        <f t="shared" ca="1" si="6"/>
        <v>140</v>
      </c>
      <c r="U9" s="33" t="str">
        <f t="shared" ca="1" si="7"/>
        <v>5%</v>
      </c>
      <c r="V9" s="29">
        <f t="shared" ca="1" si="8"/>
        <v>280</v>
      </c>
      <c r="W9" s="29">
        <f t="shared" ca="1" si="9"/>
        <v>266</v>
      </c>
      <c r="X9" s="23" t="s">
        <v>713</v>
      </c>
      <c r="Y9" s="40">
        <v>0.33680555555555558</v>
      </c>
      <c r="Z9" s="23"/>
      <c r="AA9" s="23"/>
      <c r="AB9" s="23"/>
      <c r="AC9" s="24"/>
    </row>
    <row r="10" spans="2:29" ht="16" x14ac:dyDescent="0.35">
      <c r="B10" s="5">
        <f t="shared" si="10"/>
        <v>7</v>
      </c>
      <c r="C10" s="6" t="s">
        <v>11</v>
      </c>
      <c r="D10" s="7">
        <v>170</v>
      </c>
      <c r="E10" s="32" t="str">
        <f t="shared" si="0"/>
        <v>10%</v>
      </c>
      <c r="G10" s="12">
        <f t="shared" si="11"/>
        <v>7</v>
      </c>
      <c r="H10" s="11" t="s">
        <v>113</v>
      </c>
      <c r="I10" s="11" t="s">
        <v>298</v>
      </c>
      <c r="J10" s="13" t="s">
        <v>485</v>
      </c>
      <c r="L10" s="21">
        <v>7</v>
      </c>
      <c r="M10" s="22">
        <v>44927</v>
      </c>
      <c r="N10" s="23"/>
      <c r="O10" s="23">
        <f t="shared" ca="1" si="1"/>
        <v>74</v>
      </c>
      <c r="P10" s="23">
        <f t="shared" ca="1" si="2"/>
        <v>156</v>
      </c>
      <c r="Q10" s="23">
        <f t="shared" ca="1" si="3"/>
        <v>116</v>
      </c>
      <c r="R10" s="23">
        <f t="shared" ca="1" si="4"/>
        <v>5</v>
      </c>
      <c r="S10" s="23" t="str">
        <f t="shared" ca="1" si="5"/>
        <v>56/EZ, Zinnia Road, Hajipur, 844101</v>
      </c>
      <c r="T10" s="23">
        <f t="shared" ca="1" si="6"/>
        <v>90</v>
      </c>
      <c r="U10" s="33" t="str">
        <f t="shared" ca="1" si="7"/>
        <v>0</v>
      </c>
      <c r="V10" s="29">
        <f t="shared" ca="1" si="8"/>
        <v>450</v>
      </c>
      <c r="W10" s="29">
        <f t="shared" ca="1" si="9"/>
        <v>450</v>
      </c>
      <c r="X10" s="23" t="s">
        <v>713</v>
      </c>
      <c r="Y10" s="40">
        <v>0.33750000000000002</v>
      </c>
      <c r="Z10" s="23"/>
      <c r="AA10" s="23"/>
      <c r="AB10" s="23"/>
      <c r="AC10" s="24"/>
    </row>
    <row r="11" spans="2:29" ht="16" x14ac:dyDescent="0.35">
      <c r="B11" s="5">
        <f t="shared" si="10"/>
        <v>8</v>
      </c>
      <c r="C11" s="6" t="s">
        <v>12</v>
      </c>
      <c r="D11" s="7">
        <v>200</v>
      </c>
      <c r="E11" s="32" t="str">
        <f t="shared" si="0"/>
        <v>20%</v>
      </c>
      <c r="G11" s="12">
        <f t="shared" si="11"/>
        <v>8</v>
      </c>
      <c r="H11" s="11" t="s">
        <v>114</v>
      </c>
      <c r="I11" s="11" t="s">
        <v>299</v>
      </c>
      <c r="J11" s="13" t="s">
        <v>486</v>
      </c>
      <c r="L11" s="21">
        <v>8</v>
      </c>
      <c r="M11" s="22">
        <v>44927</v>
      </c>
      <c r="N11" s="23"/>
      <c r="O11" s="23">
        <f t="shared" ca="1" si="1"/>
        <v>82</v>
      </c>
      <c r="P11" s="23">
        <f t="shared" ca="1" si="2"/>
        <v>64</v>
      </c>
      <c r="Q11" s="23">
        <f t="shared" ca="1" si="3"/>
        <v>108</v>
      </c>
      <c r="R11" s="23">
        <f t="shared" ca="1" si="4"/>
        <v>8</v>
      </c>
      <c r="S11" s="23" t="str">
        <f t="shared" ca="1" si="5"/>
        <v>78/BL, Lily Street, Tiruchirappalli, 620001</v>
      </c>
      <c r="T11" s="23">
        <f t="shared" ca="1" si="6"/>
        <v>40</v>
      </c>
      <c r="U11" s="33" t="str">
        <f t="shared" ca="1" si="7"/>
        <v>0</v>
      </c>
      <c r="V11" s="29">
        <f t="shared" ca="1" si="8"/>
        <v>320</v>
      </c>
      <c r="W11" s="29">
        <f t="shared" ca="1" si="9"/>
        <v>320</v>
      </c>
      <c r="X11" s="23" t="s">
        <v>714</v>
      </c>
      <c r="Y11" s="40">
        <v>0.33819444444444446</v>
      </c>
      <c r="Z11" s="23"/>
      <c r="AA11" s="23"/>
      <c r="AB11" s="23"/>
      <c r="AC11" s="24"/>
    </row>
    <row r="12" spans="2:29" ht="16" x14ac:dyDescent="0.35">
      <c r="B12" s="5">
        <f t="shared" si="10"/>
        <v>9</v>
      </c>
      <c r="C12" s="6" t="s">
        <v>13</v>
      </c>
      <c r="D12" s="7">
        <v>150</v>
      </c>
      <c r="E12" s="32" t="str">
        <f t="shared" si="0"/>
        <v>10%</v>
      </c>
      <c r="G12" s="12">
        <f t="shared" si="11"/>
        <v>9</v>
      </c>
      <c r="H12" s="11" t="s">
        <v>115</v>
      </c>
      <c r="I12" s="11" t="s">
        <v>300</v>
      </c>
      <c r="J12" s="13" t="s">
        <v>487</v>
      </c>
      <c r="L12" s="21">
        <v>9</v>
      </c>
      <c r="M12" s="22">
        <v>44927</v>
      </c>
      <c r="N12" s="23"/>
      <c r="O12" s="23">
        <f t="shared" ca="1" si="1"/>
        <v>90</v>
      </c>
      <c r="P12" s="23">
        <f t="shared" ca="1" si="2"/>
        <v>183</v>
      </c>
      <c r="Q12" s="23">
        <f t="shared" ca="1" si="3"/>
        <v>163</v>
      </c>
      <c r="R12" s="23">
        <f t="shared" ca="1" si="4"/>
        <v>9</v>
      </c>
      <c r="S12" s="23" t="str">
        <f t="shared" ca="1" si="5"/>
        <v>34/GA, Azalea Street, Kannur, 670001</v>
      </c>
      <c r="T12" s="23">
        <f t="shared" ca="1" si="6"/>
        <v>50</v>
      </c>
      <c r="U12" s="33" t="str">
        <f t="shared" ca="1" si="7"/>
        <v>0</v>
      </c>
      <c r="V12" s="29">
        <f t="shared" ca="1" si="8"/>
        <v>450</v>
      </c>
      <c r="W12" s="29">
        <f t="shared" ca="1" si="9"/>
        <v>450</v>
      </c>
      <c r="X12" s="23" t="s">
        <v>714</v>
      </c>
      <c r="Y12" s="40">
        <v>0.33888888888888891</v>
      </c>
      <c r="Z12" s="23"/>
      <c r="AA12" s="23"/>
      <c r="AB12" s="23"/>
      <c r="AC12" s="24"/>
    </row>
    <row r="13" spans="2:29" ht="16" x14ac:dyDescent="0.35">
      <c r="B13" s="5">
        <f t="shared" si="10"/>
        <v>10</v>
      </c>
      <c r="C13" s="6" t="s">
        <v>14</v>
      </c>
      <c r="D13" s="7">
        <v>170</v>
      </c>
      <c r="E13" s="32" t="str">
        <f t="shared" si="0"/>
        <v>10%</v>
      </c>
      <c r="G13" s="12">
        <f t="shared" si="11"/>
        <v>10</v>
      </c>
      <c r="H13" s="11" t="s">
        <v>116</v>
      </c>
      <c r="I13" s="11" t="s">
        <v>301</v>
      </c>
      <c r="J13" s="13" t="s">
        <v>488</v>
      </c>
      <c r="L13" s="21">
        <v>10</v>
      </c>
      <c r="M13" s="22">
        <v>44927</v>
      </c>
      <c r="N13" s="23"/>
      <c r="O13" s="23">
        <f t="shared" ca="1" si="1"/>
        <v>36</v>
      </c>
      <c r="P13" s="23">
        <f t="shared" ca="1" si="2"/>
        <v>167</v>
      </c>
      <c r="Q13" s="23">
        <f t="shared" ca="1" si="3"/>
        <v>152</v>
      </c>
      <c r="R13" s="23">
        <f t="shared" ca="1" si="4"/>
        <v>3</v>
      </c>
      <c r="S13" s="23" t="str">
        <f t="shared" ca="1" si="5"/>
        <v>34/FK, Kale Street, Itanagar, 791111</v>
      </c>
      <c r="T13" s="23">
        <f t="shared" ca="1" si="6"/>
        <v>200</v>
      </c>
      <c r="U13" s="33" t="str">
        <f t="shared" ca="1" si="7"/>
        <v>20%</v>
      </c>
      <c r="V13" s="29">
        <f t="shared" ca="1" si="8"/>
        <v>600</v>
      </c>
      <c r="W13" s="29">
        <f t="shared" ca="1" si="9"/>
        <v>480</v>
      </c>
      <c r="X13" s="23" t="s">
        <v>714</v>
      </c>
      <c r="Y13" s="40">
        <v>0.33958333333333335</v>
      </c>
      <c r="Z13" s="23"/>
      <c r="AA13" s="23"/>
      <c r="AB13" s="23"/>
      <c r="AC13" s="24"/>
    </row>
    <row r="14" spans="2:29" ht="16" x14ac:dyDescent="0.35">
      <c r="B14" s="5">
        <f t="shared" si="10"/>
        <v>11</v>
      </c>
      <c r="C14" s="6" t="s">
        <v>15</v>
      </c>
      <c r="D14" s="7">
        <v>180</v>
      </c>
      <c r="E14" s="32" t="str">
        <f t="shared" si="0"/>
        <v>10%</v>
      </c>
      <c r="G14" s="12">
        <f t="shared" si="11"/>
        <v>11</v>
      </c>
      <c r="H14" s="11" t="s">
        <v>117</v>
      </c>
      <c r="I14" s="11" t="s">
        <v>302</v>
      </c>
      <c r="J14" s="13" t="s">
        <v>489</v>
      </c>
      <c r="L14" s="21">
        <v>11</v>
      </c>
      <c r="M14" s="22">
        <v>44927</v>
      </c>
      <c r="N14" s="23"/>
      <c r="O14" s="23">
        <f t="shared" ca="1" si="1"/>
        <v>23</v>
      </c>
      <c r="P14" s="23">
        <f t="shared" ca="1" si="2"/>
        <v>115</v>
      </c>
      <c r="Q14" s="23">
        <f t="shared" ca="1" si="3"/>
        <v>118</v>
      </c>
      <c r="R14" s="23">
        <f t="shared" ca="1" si="4"/>
        <v>9</v>
      </c>
      <c r="S14" s="23" t="str">
        <f t="shared" ca="1" si="5"/>
        <v>45/DK, Kale Lane, Anand, 388001</v>
      </c>
      <c r="T14" s="23">
        <f t="shared" ca="1" si="6"/>
        <v>240</v>
      </c>
      <c r="U14" s="33" t="str">
        <f t="shared" ca="1" si="7"/>
        <v>20%</v>
      </c>
      <c r="V14" s="29">
        <f t="shared" ca="1" si="8"/>
        <v>2160</v>
      </c>
      <c r="W14" s="29">
        <f t="shared" ca="1" si="9"/>
        <v>1728</v>
      </c>
      <c r="X14" s="23" t="s">
        <v>714</v>
      </c>
      <c r="Y14" s="40">
        <v>0.34027777777777779</v>
      </c>
      <c r="Z14" s="23"/>
      <c r="AA14" s="23"/>
      <c r="AB14" s="23"/>
      <c r="AC14" s="24"/>
    </row>
    <row r="15" spans="2:29" ht="16" x14ac:dyDescent="0.35">
      <c r="B15" s="5">
        <f t="shared" si="10"/>
        <v>12</v>
      </c>
      <c r="C15" s="6" t="s">
        <v>16</v>
      </c>
      <c r="D15" s="7">
        <v>150</v>
      </c>
      <c r="E15" s="32" t="str">
        <f t="shared" si="0"/>
        <v>10%</v>
      </c>
      <c r="G15" s="12">
        <f t="shared" si="11"/>
        <v>12</v>
      </c>
      <c r="H15" s="11" t="s">
        <v>118</v>
      </c>
      <c r="I15" s="11" t="s">
        <v>303</v>
      </c>
      <c r="J15" s="13" t="s">
        <v>490</v>
      </c>
      <c r="L15" s="21">
        <v>12</v>
      </c>
      <c r="M15" s="22">
        <v>44927</v>
      </c>
      <c r="N15" s="23"/>
      <c r="O15" s="23">
        <f t="shared" ca="1" si="1"/>
        <v>65</v>
      </c>
      <c r="P15" s="23">
        <f t="shared" ca="1" si="2"/>
        <v>40</v>
      </c>
      <c r="Q15" s="23">
        <f t="shared" ca="1" si="3"/>
        <v>130</v>
      </c>
      <c r="R15" s="23">
        <f t="shared" ca="1" si="4"/>
        <v>4</v>
      </c>
      <c r="S15" s="23" t="str">
        <f t="shared" ca="1" si="5"/>
        <v>78/AN, Narcissus Avenue, Panaji, 403001</v>
      </c>
      <c r="T15" s="23">
        <f t="shared" ca="1" si="6"/>
        <v>100</v>
      </c>
      <c r="U15" s="33" t="str">
        <f t="shared" ca="1" si="7"/>
        <v>5%</v>
      </c>
      <c r="V15" s="29">
        <f t="shared" ca="1" si="8"/>
        <v>400</v>
      </c>
      <c r="W15" s="29">
        <f t="shared" ca="1" si="9"/>
        <v>380</v>
      </c>
      <c r="X15" s="23" t="s">
        <v>714</v>
      </c>
      <c r="Y15" s="40">
        <v>0.34097222222222223</v>
      </c>
      <c r="Z15" s="23"/>
      <c r="AA15" s="23"/>
      <c r="AB15" s="23"/>
      <c r="AC15" s="24"/>
    </row>
    <row r="16" spans="2:29" ht="16" x14ac:dyDescent="0.35">
      <c r="B16" s="5">
        <f t="shared" si="10"/>
        <v>13</v>
      </c>
      <c r="C16" s="6" t="s">
        <v>17</v>
      </c>
      <c r="D16" s="7">
        <v>200</v>
      </c>
      <c r="E16" s="32" t="str">
        <f t="shared" si="0"/>
        <v>20%</v>
      </c>
      <c r="G16" s="12">
        <f t="shared" si="11"/>
        <v>13</v>
      </c>
      <c r="H16" s="11" t="s">
        <v>119</v>
      </c>
      <c r="I16" s="11" t="s">
        <v>304</v>
      </c>
      <c r="J16" s="13" t="s">
        <v>491</v>
      </c>
      <c r="L16" s="21">
        <v>13</v>
      </c>
      <c r="M16" s="22">
        <v>44927</v>
      </c>
      <c r="N16" s="23"/>
      <c r="O16" s="23">
        <f t="shared" ca="1" si="1"/>
        <v>67</v>
      </c>
      <c r="P16" s="23">
        <f t="shared" ca="1" si="2"/>
        <v>9</v>
      </c>
      <c r="Q16" s="23">
        <f t="shared" ca="1" si="3"/>
        <v>153</v>
      </c>
      <c r="R16" s="23">
        <f t="shared" ca="1" si="4"/>
        <v>8</v>
      </c>
      <c r="S16" s="23" t="str">
        <f t="shared" ca="1" si="5"/>
        <v>89/I, Marigold Street, Jaipur, 302001</v>
      </c>
      <c r="T16" s="23">
        <f t="shared" ca="1" si="6"/>
        <v>100</v>
      </c>
      <c r="U16" s="33" t="str">
        <f t="shared" ca="1" si="7"/>
        <v>5%</v>
      </c>
      <c r="V16" s="29">
        <f t="shared" ca="1" si="8"/>
        <v>800</v>
      </c>
      <c r="W16" s="29">
        <f t="shared" ca="1" si="9"/>
        <v>760</v>
      </c>
      <c r="X16" s="23" t="s">
        <v>714</v>
      </c>
      <c r="Y16" s="40">
        <v>0.34166666666666667</v>
      </c>
      <c r="Z16" s="23"/>
      <c r="AA16" s="23"/>
      <c r="AB16" s="23"/>
      <c r="AC16" s="24"/>
    </row>
    <row r="17" spans="2:29" ht="16" x14ac:dyDescent="0.35">
      <c r="B17" s="5">
        <f t="shared" si="10"/>
        <v>14</v>
      </c>
      <c r="C17" s="6" t="s">
        <v>18</v>
      </c>
      <c r="D17" s="7">
        <v>170</v>
      </c>
      <c r="E17" s="32" t="str">
        <f t="shared" si="0"/>
        <v>10%</v>
      </c>
      <c r="G17" s="12">
        <f t="shared" si="11"/>
        <v>14</v>
      </c>
      <c r="H17" s="11" t="s">
        <v>120</v>
      </c>
      <c r="I17" s="11" t="s">
        <v>305</v>
      </c>
      <c r="J17" s="13" t="s">
        <v>492</v>
      </c>
      <c r="L17" s="21">
        <v>14</v>
      </c>
      <c r="M17" s="22">
        <v>44927</v>
      </c>
      <c r="N17" s="23"/>
      <c r="O17" s="23">
        <f t="shared" ca="1" si="1"/>
        <v>29</v>
      </c>
      <c r="P17" s="23">
        <f t="shared" ca="1" si="2"/>
        <v>57</v>
      </c>
      <c r="Q17" s="23">
        <f t="shared" ca="1" si="3"/>
        <v>103</v>
      </c>
      <c r="R17" s="23">
        <f t="shared" ca="1" si="4"/>
        <v>2</v>
      </c>
      <c r="S17" s="23" t="str">
        <f t="shared" ca="1" si="5"/>
        <v>89/BE, Ebony Lane, Jalandhar, 144001</v>
      </c>
      <c r="T17" s="23">
        <f t="shared" ca="1" si="6"/>
        <v>200</v>
      </c>
      <c r="U17" s="33" t="str">
        <f t="shared" ca="1" si="7"/>
        <v>20%</v>
      </c>
      <c r="V17" s="29">
        <f t="shared" ca="1" si="8"/>
        <v>400</v>
      </c>
      <c r="W17" s="29">
        <f t="shared" ca="1" si="9"/>
        <v>320</v>
      </c>
      <c r="X17" s="23" t="s">
        <v>714</v>
      </c>
      <c r="Y17" s="40">
        <v>0.34236111111111112</v>
      </c>
      <c r="Z17" s="23"/>
      <c r="AA17" s="23"/>
      <c r="AB17" s="23"/>
      <c r="AC17" s="24"/>
    </row>
    <row r="18" spans="2:29" ht="16" x14ac:dyDescent="0.35">
      <c r="B18" s="5">
        <f t="shared" si="10"/>
        <v>15</v>
      </c>
      <c r="C18" s="6" t="s">
        <v>19</v>
      </c>
      <c r="D18" s="7">
        <v>150</v>
      </c>
      <c r="E18" s="32" t="str">
        <f t="shared" si="0"/>
        <v>10%</v>
      </c>
      <c r="G18" s="12">
        <f t="shared" si="11"/>
        <v>15</v>
      </c>
      <c r="H18" s="11" t="s">
        <v>121</v>
      </c>
      <c r="I18" s="11" t="s">
        <v>306</v>
      </c>
      <c r="J18" s="13" t="s">
        <v>493</v>
      </c>
      <c r="L18" s="21">
        <v>15</v>
      </c>
      <c r="M18" s="22">
        <v>44927</v>
      </c>
      <c r="N18" s="23"/>
      <c r="O18" s="23">
        <f t="shared" ca="1" si="1"/>
        <v>50</v>
      </c>
      <c r="P18" s="23">
        <f t="shared" ca="1" si="2"/>
        <v>6</v>
      </c>
      <c r="Q18" s="23">
        <f t="shared" ca="1" si="3"/>
        <v>111</v>
      </c>
      <c r="R18" s="23">
        <f t="shared" ca="1" si="4"/>
        <v>8</v>
      </c>
      <c r="S18" s="23" t="str">
        <f t="shared" ca="1" si="5"/>
        <v>67/F, Tulip Lane, Chennai, 600001</v>
      </c>
      <c r="T18" s="23">
        <f t="shared" ca="1" si="6"/>
        <v>40</v>
      </c>
      <c r="U18" s="33" t="str">
        <f t="shared" ca="1" si="7"/>
        <v>0</v>
      </c>
      <c r="V18" s="29">
        <f t="shared" ca="1" si="8"/>
        <v>320</v>
      </c>
      <c r="W18" s="29">
        <f t="shared" ca="1" si="9"/>
        <v>320</v>
      </c>
      <c r="X18" s="23" t="s">
        <v>714</v>
      </c>
      <c r="Y18" s="40">
        <v>0.34305555555555556</v>
      </c>
      <c r="Z18" s="23"/>
      <c r="AA18" s="23"/>
      <c r="AB18" s="23"/>
      <c r="AC18" s="24"/>
    </row>
    <row r="19" spans="2:29" ht="16" x14ac:dyDescent="0.35">
      <c r="B19" s="5">
        <f t="shared" si="10"/>
        <v>16</v>
      </c>
      <c r="C19" s="6" t="s">
        <v>20</v>
      </c>
      <c r="D19" s="7">
        <v>180</v>
      </c>
      <c r="E19" s="32" t="str">
        <f t="shared" si="0"/>
        <v>10%</v>
      </c>
      <c r="G19" s="12">
        <f t="shared" si="11"/>
        <v>16</v>
      </c>
      <c r="H19" s="11" t="s">
        <v>122</v>
      </c>
      <c r="I19" s="11" t="s">
        <v>307</v>
      </c>
      <c r="J19" s="13" t="s">
        <v>494</v>
      </c>
      <c r="L19" s="21">
        <v>16</v>
      </c>
      <c r="M19" s="22">
        <v>44927</v>
      </c>
      <c r="N19" s="23"/>
      <c r="O19" s="23">
        <f t="shared" ca="1" si="1"/>
        <v>82</v>
      </c>
      <c r="P19" s="23">
        <f t="shared" ca="1" si="2"/>
        <v>182</v>
      </c>
      <c r="Q19" s="23">
        <f t="shared" ca="1" si="3"/>
        <v>112</v>
      </c>
      <c r="R19" s="23">
        <f t="shared" ca="1" si="4"/>
        <v>4</v>
      </c>
      <c r="S19" s="23" t="str">
        <f t="shared" ca="1" si="5"/>
        <v>67/FZ, Zinnia Lane, Kanchipuram, 631501</v>
      </c>
      <c r="T19" s="23">
        <f t="shared" ca="1" si="6"/>
        <v>40</v>
      </c>
      <c r="U19" s="33" t="str">
        <f t="shared" ca="1" si="7"/>
        <v>0</v>
      </c>
      <c r="V19" s="29">
        <f t="shared" ca="1" si="8"/>
        <v>160</v>
      </c>
      <c r="W19" s="29">
        <f t="shared" ca="1" si="9"/>
        <v>160</v>
      </c>
      <c r="X19" s="23" t="s">
        <v>714</v>
      </c>
      <c r="Y19" s="40">
        <v>0.34375</v>
      </c>
      <c r="Z19" s="23"/>
      <c r="AA19" s="23"/>
      <c r="AB19" s="23"/>
      <c r="AC19" s="24"/>
    </row>
    <row r="20" spans="2:29" ht="16" x14ac:dyDescent="0.35">
      <c r="B20" s="5">
        <f t="shared" si="10"/>
        <v>17</v>
      </c>
      <c r="C20" s="6" t="s">
        <v>21</v>
      </c>
      <c r="D20" s="7">
        <v>220</v>
      </c>
      <c r="E20" s="32" t="str">
        <f t="shared" si="0"/>
        <v>20%</v>
      </c>
      <c r="G20" s="12">
        <f t="shared" si="11"/>
        <v>17</v>
      </c>
      <c r="H20" s="11" t="s">
        <v>123</v>
      </c>
      <c r="I20" s="11" t="s">
        <v>308</v>
      </c>
      <c r="J20" s="13" t="s">
        <v>495</v>
      </c>
      <c r="L20" s="21">
        <v>17</v>
      </c>
      <c r="M20" s="22">
        <v>44927</v>
      </c>
      <c r="N20" s="23"/>
      <c r="O20" s="23">
        <f t="shared" ca="1" si="1"/>
        <v>71</v>
      </c>
      <c r="P20" s="23">
        <f t="shared" ca="1" si="2"/>
        <v>9</v>
      </c>
      <c r="Q20" s="23">
        <f t="shared" ca="1" si="3"/>
        <v>113</v>
      </c>
      <c r="R20" s="23">
        <f t="shared" ca="1" si="4"/>
        <v>4</v>
      </c>
      <c r="S20" s="23" t="str">
        <f t="shared" ca="1" si="5"/>
        <v>89/I, Marigold Street, Jaipur, 302001</v>
      </c>
      <c r="T20" s="23">
        <f t="shared" ca="1" si="6"/>
        <v>80</v>
      </c>
      <c r="U20" s="33" t="str">
        <f t="shared" ca="1" si="7"/>
        <v>0</v>
      </c>
      <c r="V20" s="29">
        <f t="shared" ca="1" si="8"/>
        <v>320</v>
      </c>
      <c r="W20" s="29">
        <f t="shared" ca="1" si="9"/>
        <v>320</v>
      </c>
      <c r="X20" s="23" t="s">
        <v>714</v>
      </c>
      <c r="Y20" s="40">
        <v>0.34444444444444444</v>
      </c>
      <c r="Z20" s="23"/>
      <c r="AA20" s="23"/>
      <c r="AB20" s="23"/>
      <c r="AC20" s="24"/>
    </row>
    <row r="21" spans="2:29" ht="16" x14ac:dyDescent="0.35">
      <c r="B21" s="5">
        <f t="shared" si="10"/>
        <v>18</v>
      </c>
      <c r="C21" s="6" t="s">
        <v>22</v>
      </c>
      <c r="D21" s="7">
        <v>170</v>
      </c>
      <c r="E21" s="32" t="str">
        <f t="shared" si="0"/>
        <v>10%</v>
      </c>
      <c r="G21" s="12">
        <f t="shared" si="11"/>
        <v>18</v>
      </c>
      <c r="H21" s="11" t="s">
        <v>124</v>
      </c>
      <c r="I21" s="11" t="s">
        <v>309</v>
      </c>
      <c r="J21" s="13" t="s">
        <v>496</v>
      </c>
      <c r="L21" s="21">
        <v>18</v>
      </c>
      <c r="M21" s="22">
        <v>44927</v>
      </c>
      <c r="N21" s="23"/>
      <c r="O21" s="23">
        <f t="shared" ca="1" si="1"/>
        <v>6</v>
      </c>
      <c r="P21" s="23">
        <f t="shared" ca="1" si="2"/>
        <v>129</v>
      </c>
      <c r="Q21" s="23">
        <f t="shared" ca="1" si="3"/>
        <v>169</v>
      </c>
      <c r="R21" s="23">
        <f t="shared" ca="1" si="4"/>
        <v>10</v>
      </c>
      <c r="S21" s="23" t="str">
        <f t="shared" ca="1" si="5"/>
        <v>89/DY, Yarrow Lane, Bikaner, 334001</v>
      </c>
      <c r="T21" s="23">
        <f t="shared" ca="1" si="6"/>
        <v>220</v>
      </c>
      <c r="U21" s="33" t="str">
        <f t="shared" ca="1" si="7"/>
        <v>20%</v>
      </c>
      <c r="V21" s="29">
        <f t="shared" ca="1" si="8"/>
        <v>2200</v>
      </c>
      <c r="W21" s="29">
        <f t="shared" ca="1" si="9"/>
        <v>1760</v>
      </c>
      <c r="X21" s="23" t="s">
        <v>714</v>
      </c>
      <c r="Y21" s="40">
        <v>0.34513888888888888</v>
      </c>
      <c r="Z21" s="23"/>
      <c r="AA21" s="23"/>
      <c r="AB21" s="23"/>
      <c r="AC21" s="24"/>
    </row>
    <row r="22" spans="2:29" ht="16" x14ac:dyDescent="0.35">
      <c r="B22" s="5">
        <f t="shared" si="10"/>
        <v>19</v>
      </c>
      <c r="C22" s="6" t="s">
        <v>23</v>
      </c>
      <c r="D22" s="7">
        <v>150</v>
      </c>
      <c r="E22" s="32" t="str">
        <f t="shared" si="0"/>
        <v>10%</v>
      </c>
      <c r="G22" s="12">
        <f t="shared" si="11"/>
        <v>19</v>
      </c>
      <c r="H22" s="11" t="s">
        <v>125</v>
      </c>
      <c r="I22" s="11" t="s">
        <v>310</v>
      </c>
      <c r="J22" s="13" t="s">
        <v>497</v>
      </c>
      <c r="L22" s="21">
        <v>19</v>
      </c>
      <c r="M22" s="22">
        <v>44927</v>
      </c>
      <c r="N22" s="23"/>
      <c r="O22" s="23">
        <f t="shared" ca="1" si="1"/>
        <v>44</v>
      </c>
      <c r="P22" s="23">
        <f t="shared" ca="1" si="2"/>
        <v>114</v>
      </c>
      <c r="Q22" s="23">
        <f t="shared" ca="1" si="3"/>
        <v>109</v>
      </c>
      <c r="R22" s="23">
        <f t="shared" ca="1" si="4"/>
        <v>7</v>
      </c>
      <c r="S22" s="23" t="str">
        <f t="shared" ca="1" si="5"/>
        <v>78/DJ, Jasmine Street, Amravati, 444601</v>
      </c>
      <c r="T22" s="23">
        <f t="shared" ca="1" si="6"/>
        <v>40</v>
      </c>
      <c r="U22" s="33" t="str">
        <f t="shared" ca="1" si="7"/>
        <v>0</v>
      </c>
      <c r="V22" s="29">
        <f t="shared" ca="1" si="8"/>
        <v>280</v>
      </c>
      <c r="W22" s="29">
        <f t="shared" ca="1" si="9"/>
        <v>280</v>
      </c>
      <c r="X22" s="23" t="s">
        <v>714</v>
      </c>
      <c r="Y22" s="40">
        <v>0.34583333333333333</v>
      </c>
      <c r="Z22" s="23"/>
      <c r="AA22" s="23"/>
      <c r="AB22" s="23"/>
      <c r="AC22" s="24"/>
    </row>
    <row r="23" spans="2:29" ht="16" x14ac:dyDescent="0.35">
      <c r="B23" s="5">
        <f t="shared" si="10"/>
        <v>20</v>
      </c>
      <c r="C23" s="6" t="s">
        <v>4</v>
      </c>
      <c r="D23" s="7">
        <v>140</v>
      </c>
      <c r="E23" s="32" t="str">
        <f t="shared" si="0"/>
        <v>5%</v>
      </c>
      <c r="G23" s="12">
        <f t="shared" si="11"/>
        <v>20</v>
      </c>
      <c r="H23" s="11" t="s">
        <v>126</v>
      </c>
      <c r="I23" s="11" t="s">
        <v>311</v>
      </c>
      <c r="J23" s="13" t="s">
        <v>498</v>
      </c>
      <c r="L23" s="21">
        <v>20</v>
      </c>
      <c r="M23" s="22">
        <v>44927</v>
      </c>
      <c r="N23" s="23"/>
      <c r="O23" s="23">
        <f t="shared" ca="1" si="1"/>
        <v>9</v>
      </c>
      <c r="P23" s="23">
        <f t="shared" ca="1" si="2"/>
        <v>54</v>
      </c>
      <c r="Q23" s="23">
        <f t="shared" ca="1" si="3"/>
        <v>160</v>
      </c>
      <c r="R23" s="23">
        <f t="shared" ca="1" si="4"/>
        <v>7</v>
      </c>
      <c r="S23" s="23" t="str">
        <f t="shared" ca="1" si="5"/>
        <v>67/BB, Bluebell Lane, Firozabad, 283203</v>
      </c>
      <c r="T23" s="23">
        <f t="shared" ca="1" si="6"/>
        <v>150</v>
      </c>
      <c r="U23" s="33" t="str">
        <f t="shared" ca="1" si="7"/>
        <v>10%</v>
      </c>
      <c r="V23" s="29">
        <f t="shared" ca="1" si="8"/>
        <v>1050</v>
      </c>
      <c r="W23" s="29">
        <f t="shared" ca="1" si="9"/>
        <v>945</v>
      </c>
      <c r="X23" s="23" t="s">
        <v>714</v>
      </c>
      <c r="Y23" s="40">
        <v>0.34652777777777777</v>
      </c>
      <c r="Z23" s="23"/>
      <c r="AA23" s="23"/>
      <c r="AB23" s="23"/>
      <c r="AC23" s="24"/>
    </row>
    <row r="24" spans="2:29" ht="16" x14ac:dyDescent="0.35">
      <c r="B24" s="5">
        <f t="shared" si="10"/>
        <v>21</v>
      </c>
      <c r="C24" s="6" t="s">
        <v>24</v>
      </c>
      <c r="D24" s="7">
        <v>220</v>
      </c>
      <c r="E24" s="32" t="str">
        <f t="shared" si="0"/>
        <v>20%</v>
      </c>
      <c r="G24" s="12">
        <f t="shared" si="11"/>
        <v>21</v>
      </c>
      <c r="H24" s="11" t="s">
        <v>127</v>
      </c>
      <c r="I24" s="11" t="s">
        <v>312</v>
      </c>
      <c r="J24" s="13" t="s">
        <v>499</v>
      </c>
      <c r="L24" s="21">
        <v>21</v>
      </c>
      <c r="M24" s="22">
        <v>44927</v>
      </c>
      <c r="N24" s="23"/>
      <c r="O24" s="23">
        <f t="shared" ca="1" si="1"/>
        <v>20</v>
      </c>
      <c r="P24" s="23">
        <f t="shared" ca="1" si="2"/>
        <v>1</v>
      </c>
      <c r="Q24" s="23">
        <f t="shared" ca="1" si="3"/>
        <v>125</v>
      </c>
      <c r="R24" s="23">
        <f t="shared" ca="1" si="4"/>
        <v>3</v>
      </c>
      <c r="S24" s="23" t="str">
        <f t="shared" ca="1" si="5"/>
        <v>12/A, Green Avenue, New Delhi, 110001</v>
      </c>
      <c r="T24" s="23">
        <f t="shared" ca="1" si="6"/>
        <v>140</v>
      </c>
      <c r="U24" s="33" t="str">
        <f t="shared" ca="1" si="7"/>
        <v>5%</v>
      </c>
      <c r="V24" s="29">
        <f t="shared" ca="1" si="8"/>
        <v>420</v>
      </c>
      <c r="W24" s="29">
        <f t="shared" ca="1" si="9"/>
        <v>399</v>
      </c>
      <c r="X24" s="23" t="s">
        <v>714</v>
      </c>
      <c r="Y24" s="40">
        <v>0.34722222222222221</v>
      </c>
      <c r="Z24" s="23"/>
      <c r="AA24" s="23"/>
      <c r="AB24" s="23"/>
      <c r="AC24" s="24"/>
    </row>
    <row r="25" spans="2:29" ht="16" x14ac:dyDescent="0.35">
      <c r="B25" s="5">
        <f t="shared" si="10"/>
        <v>22</v>
      </c>
      <c r="C25" s="6" t="s">
        <v>25</v>
      </c>
      <c r="D25" s="7">
        <v>200</v>
      </c>
      <c r="E25" s="32" t="str">
        <f t="shared" si="0"/>
        <v>20%</v>
      </c>
      <c r="G25" s="12">
        <f t="shared" si="11"/>
        <v>22</v>
      </c>
      <c r="H25" s="11" t="s">
        <v>128</v>
      </c>
      <c r="I25" s="11" t="s">
        <v>313</v>
      </c>
      <c r="J25" s="13" t="s">
        <v>500</v>
      </c>
      <c r="L25" s="21">
        <v>22</v>
      </c>
      <c r="M25" s="22">
        <v>44927</v>
      </c>
      <c r="N25" s="23"/>
      <c r="O25" s="23">
        <f t="shared" ca="1" si="1"/>
        <v>8</v>
      </c>
      <c r="P25" s="23">
        <f t="shared" ca="1" si="2"/>
        <v>184</v>
      </c>
      <c r="Q25" s="23">
        <f t="shared" ca="1" si="3"/>
        <v>159</v>
      </c>
      <c r="R25" s="23">
        <f t="shared" ca="1" si="4"/>
        <v>3</v>
      </c>
      <c r="S25" s="23" t="str">
        <f t="shared" ca="1" si="5"/>
        <v>78/GB, Bluebell Lane, Kharagpur, 721301</v>
      </c>
      <c r="T25" s="23">
        <f t="shared" ca="1" si="6"/>
        <v>200</v>
      </c>
      <c r="U25" s="33" t="str">
        <f t="shared" ca="1" si="7"/>
        <v>20%</v>
      </c>
      <c r="V25" s="29">
        <f t="shared" ca="1" si="8"/>
        <v>600</v>
      </c>
      <c r="W25" s="29">
        <f t="shared" ca="1" si="9"/>
        <v>480</v>
      </c>
      <c r="X25" s="23" t="s">
        <v>713</v>
      </c>
      <c r="Y25" s="40">
        <v>0.34791666666666665</v>
      </c>
      <c r="Z25" s="23"/>
      <c r="AA25" s="23"/>
      <c r="AB25" s="23"/>
      <c r="AC25" s="24"/>
    </row>
    <row r="26" spans="2:29" ht="16" x14ac:dyDescent="0.35">
      <c r="B26" s="5">
        <f t="shared" si="10"/>
        <v>23</v>
      </c>
      <c r="C26" s="6" t="s">
        <v>26</v>
      </c>
      <c r="D26" s="7">
        <v>240</v>
      </c>
      <c r="E26" s="32" t="str">
        <f t="shared" si="0"/>
        <v>20%</v>
      </c>
      <c r="G26" s="12">
        <f t="shared" si="11"/>
        <v>23</v>
      </c>
      <c r="H26" s="11" t="s">
        <v>129</v>
      </c>
      <c r="I26" s="11" t="s">
        <v>314</v>
      </c>
      <c r="J26" s="13" t="s">
        <v>501</v>
      </c>
      <c r="L26" s="21">
        <v>23</v>
      </c>
      <c r="M26" s="22">
        <v>44927</v>
      </c>
      <c r="N26" s="23"/>
      <c r="O26" s="23">
        <f t="shared" ca="1" si="1"/>
        <v>63</v>
      </c>
      <c r="P26" s="23">
        <f t="shared" ca="1" si="2"/>
        <v>22</v>
      </c>
      <c r="Q26" s="23">
        <f t="shared" ca="1" si="3"/>
        <v>167</v>
      </c>
      <c r="R26" s="23">
        <f t="shared" ca="1" si="4"/>
        <v>6</v>
      </c>
      <c r="S26" s="23" t="str">
        <f t="shared" ca="1" si="5"/>
        <v>67/V, Violet Street, Varanasi, 221001</v>
      </c>
      <c r="T26" s="23">
        <f t="shared" ca="1" si="6"/>
        <v>100</v>
      </c>
      <c r="U26" s="33" t="str">
        <f t="shared" ca="1" si="7"/>
        <v>5%</v>
      </c>
      <c r="V26" s="29">
        <f t="shared" ca="1" si="8"/>
        <v>600</v>
      </c>
      <c r="W26" s="29">
        <f t="shared" ca="1" si="9"/>
        <v>570</v>
      </c>
      <c r="X26" s="23" t="s">
        <v>713</v>
      </c>
      <c r="Y26" s="40">
        <v>0.34861111111111109</v>
      </c>
      <c r="Z26" s="23"/>
      <c r="AA26" s="23"/>
      <c r="AB26" s="23"/>
      <c r="AC26" s="24"/>
    </row>
    <row r="27" spans="2:29" ht="16" x14ac:dyDescent="0.35">
      <c r="B27" s="5">
        <f t="shared" si="10"/>
        <v>24</v>
      </c>
      <c r="C27" s="6" t="s">
        <v>27</v>
      </c>
      <c r="D27" s="7">
        <v>190</v>
      </c>
      <c r="E27" s="32" t="str">
        <f t="shared" si="0"/>
        <v>10%</v>
      </c>
      <c r="G27" s="12">
        <f t="shared" si="11"/>
        <v>24</v>
      </c>
      <c r="H27" s="11" t="s">
        <v>130</v>
      </c>
      <c r="I27" s="11" t="s">
        <v>315</v>
      </c>
      <c r="J27" s="13" t="s">
        <v>502</v>
      </c>
      <c r="L27" s="21">
        <v>24</v>
      </c>
      <c r="M27" s="22">
        <v>44927</v>
      </c>
      <c r="N27" s="23"/>
      <c r="O27" s="23">
        <f t="shared" ca="1" si="1"/>
        <v>26</v>
      </c>
      <c r="P27" s="23">
        <f t="shared" ca="1" si="2"/>
        <v>101</v>
      </c>
      <c r="Q27" s="23">
        <f t="shared" ca="1" si="3"/>
        <v>161</v>
      </c>
      <c r="R27" s="23">
        <f t="shared" ca="1" si="4"/>
        <v>9</v>
      </c>
      <c r="S27" s="23" t="str">
        <f t="shared" ca="1" si="5"/>
        <v>23/CW, Water Lily Lane, Tura, 794101</v>
      </c>
      <c r="T27" s="23">
        <f t="shared" ca="1" si="6"/>
        <v>250</v>
      </c>
      <c r="U27" s="33" t="str">
        <f t="shared" ca="1" si="7"/>
        <v>20%</v>
      </c>
      <c r="V27" s="29">
        <f t="shared" ca="1" si="8"/>
        <v>2250</v>
      </c>
      <c r="W27" s="29">
        <f t="shared" ca="1" si="9"/>
        <v>1800</v>
      </c>
      <c r="X27" s="23" t="s">
        <v>713</v>
      </c>
      <c r="Y27" s="40">
        <v>0.34930555555555554</v>
      </c>
      <c r="Z27" s="23"/>
      <c r="AA27" s="23"/>
      <c r="AB27" s="23"/>
      <c r="AC27" s="24"/>
    </row>
    <row r="28" spans="2:29" ht="16" x14ac:dyDescent="0.35">
      <c r="B28" s="5">
        <f t="shared" si="10"/>
        <v>25</v>
      </c>
      <c r="C28" s="6" t="s">
        <v>28</v>
      </c>
      <c r="D28" s="7">
        <v>240</v>
      </c>
      <c r="E28" s="32" t="str">
        <f t="shared" si="0"/>
        <v>20%</v>
      </c>
      <c r="G28" s="12">
        <f t="shared" si="11"/>
        <v>25</v>
      </c>
      <c r="H28" s="11" t="s">
        <v>131</v>
      </c>
      <c r="I28" s="11" t="s">
        <v>316</v>
      </c>
      <c r="J28" s="13" t="s">
        <v>503</v>
      </c>
      <c r="L28" s="21">
        <v>25</v>
      </c>
      <c r="M28" s="22">
        <v>44927</v>
      </c>
      <c r="N28" s="23"/>
      <c r="O28" s="23">
        <f t="shared" ca="1" si="1"/>
        <v>5</v>
      </c>
      <c r="P28" s="23">
        <f t="shared" ca="1" si="2"/>
        <v>142</v>
      </c>
      <c r="Q28" s="23">
        <f t="shared" ca="1" si="3"/>
        <v>133</v>
      </c>
      <c r="R28" s="23">
        <f t="shared" ca="1" si="4"/>
        <v>1</v>
      </c>
      <c r="S28" s="23" t="str">
        <f t="shared" ca="1" si="5"/>
        <v>67/EL, Lily Lane, Durg, 491001</v>
      </c>
      <c r="T28" s="23">
        <f t="shared" ca="1" si="6"/>
        <v>180</v>
      </c>
      <c r="U28" s="33" t="str">
        <f t="shared" ca="1" si="7"/>
        <v>10%</v>
      </c>
      <c r="V28" s="29">
        <f t="shared" ca="1" si="8"/>
        <v>180</v>
      </c>
      <c r="W28" s="29">
        <f t="shared" ca="1" si="9"/>
        <v>162</v>
      </c>
      <c r="X28" s="23" t="s">
        <v>713</v>
      </c>
      <c r="Y28" s="40">
        <v>0.35</v>
      </c>
      <c r="Z28" s="23"/>
      <c r="AA28" s="23"/>
      <c r="AB28" s="23"/>
      <c r="AC28" s="24"/>
    </row>
    <row r="29" spans="2:29" ht="16" x14ac:dyDescent="0.35">
      <c r="B29" s="5">
        <f t="shared" si="10"/>
        <v>26</v>
      </c>
      <c r="C29" s="6" t="s">
        <v>29</v>
      </c>
      <c r="D29" s="7">
        <v>250</v>
      </c>
      <c r="E29" s="32" t="str">
        <f t="shared" si="0"/>
        <v>20%</v>
      </c>
      <c r="G29" s="12">
        <f t="shared" si="11"/>
        <v>26</v>
      </c>
      <c r="H29" s="11" t="s">
        <v>132</v>
      </c>
      <c r="I29" s="11" t="s">
        <v>317</v>
      </c>
      <c r="J29" s="13" t="s">
        <v>504</v>
      </c>
      <c r="L29" s="21">
        <v>26</v>
      </c>
      <c r="M29" s="22">
        <v>44927</v>
      </c>
      <c r="N29" s="23"/>
      <c r="O29" s="23">
        <f t="shared" ca="1" si="1"/>
        <v>50</v>
      </c>
      <c r="P29" s="23">
        <f t="shared" ca="1" si="2"/>
        <v>134</v>
      </c>
      <c r="Q29" s="23">
        <f t="shared" ca="1" si="3"/>
        <v>102</v>
      </c>
      <c r="R29" s="23">
        <f t="shared" ca="1" si="4"/>
        <v>2</v>
      </c>
      <c r="S29" s="23" t="str">
        <f t="shared" ca="1" si="5"/>
        <v>67/ED, Dahlia Road, Chhindwara, 480001</v>
      </c>
      <c r="T29" s="23">
        <f t="shared" ca="1" si="6"/>
        <v>40</v>
      </c>
      <c r="U29" s="33" t="str">
        <f t="shared" ca="1" si="7"/>
        <v>0</v>
      </c>
      <c r="V29" s="29">
        <f t="shared" ca="1" si="8"/>
        <v>80</v>
      </c>
      <c r="W29" s="29">
        <f t="shared" ca="1" si="9"/>
        <v>80</v>
      </c>
      <c r="X29" s="23" t="s">
        <v>713</v>
      </c>
      <c r="Y29" s="40">
        <v>0.35069444444444442</v>
      </c>
      <c r="Z29" s="23"/>
      <c r="AA29" s="23"/>
      <c r="AB29" s="23"/>
      <c r="AC29" s="24"/>
    </row>
    <row r="30" spans="2:29" ht="16" x14ac:dyDescent="0.35">
      <c r="B30" s="5">
        <f t="shared" si="10"/>
        <v>27</v>
      </c>
      <c r="C30" s="6" t="s">
        <v>30</v>
      </c>
      <c r="D30" s="7">
        <v>260</v>
      </c>
      <c r="E30" s="32" t="str">
        <f t="shared" si="0"/>
        <v>20%</v>
      </c>
      <c r="G30" s="12">
        <f t="shared" si="11"/>
        <v>27</v>
      </c>
      <c r="H30" s="11" t="s">
        <v>133</v>
      </c>
      <c r="I30" s="11" t="s">
        <v>318</v>
      </c>
      <c r="J30" s="13" t="s">
        <v>505</v>
      </c>
      <c r="L30" s="21">
        <v>27</v>
      </c>
      <c r="M30" s="22">
        <v>44927</v>
      </c>
      <c r="N30" s="23"/>
      <c r="O30" s="23">
        <f t="shared" ca="1" si="1"/>
        <v>42</v>
      </c>
      <c r="P30" s="23">
        <f t="shared" ca="1" si="2"/>
        <v>147</v>
      </c>
      <c r="Q30" s="23">
        <f t="shared" ca="1" si="3"/>
        <v>151</v>
      </c>
      <c r="R30" s="23">
        <f t="shared" ca="1" si="4"/>
        <v>3</v>
      </c>
      <c r="S30" s="23" t="str">
        <f t="shared" ca="1" si="5"/>
        <v>45/EQ, Quince Lane, Gadag, 582101</v>
      </c>
      <c r="T30" s="23">
        <f t="shared" ca="1" si="6"/>
        <v>30</v>
      </c>
      <c r="U30" s="33" t="str">
        <f t="shared" ca="1" si="7"/>
        <v>0</v>
      </c>
      <c r="V30" s="29">
        <f t="shared" ca="1" si="8"/>
        <v>90</v>
      </c>
      <c r="W30" s="29">
        <f t="shared" ca="1" si="9"/>
        <v>90</v>
      </c>
      <c r="X30" s="23" t="s">
        <v>713</v>
      </c>
      <c r="Y30" s="40">
        <v>0.35138888888888886</v>
      </c>
      <c r="Z30" s="23"/>
      <c r="AA30" s="23"/>
      <c r="AB30" s="23"/>
      <c r="AC30" s="24"/>
    </row>
    <row r="31" spans="2:29" ht="16" x14ac:dyDescent="0.35">
      <c r="B31" s="5">
        <f t="shared" si="10"/>
        <v>28</v>
      </c>
      <c r="C31" s="6" t="s">
        <v>31</v>
      </c>
      <c r="D31" s="7">
        <v>240</v>
      </c>
      <c r="E31" s="32" t="str">
        <f t="shared" si="0"/>
        <v>20%</v>
      </c>
      <c r="G31" s="12">
        <f t="shared" si="11"/>
        <v>28</v>
      </c>
      <c r="H31" s="11" t="s">
        <v>134</v>
      </c>
      <c r="I31" s="11" t="s">
        <v>319</v>
      </c>
      <c r="J31" s="13" t="s">
        <v>506</v>
      </c>
      <c r="L31" s="21">
        <v>28</v>
      </c>
      <c r="M31" s="22">
        <v>44927</v>
      </c>
      <c r="N31" s="23"/>
      <c r="O31" s="23">
        <f t="shared" ca="1" si="1"/>
        <v>87</v>
      </c>
      <c r="P31" s="23">
        <f t="shared" ca="1" si="2"/>
        <v>137</v>
      </c>
      <c r="Q31" s="23">
        <f t="shared" ca="1" si="3"/>
        <v>148</v>
      </c>
      <c r="R31" s="23">
        <f t="shared" ca="1" si="4"/>
        <v>9</v>
      </c>
      <c r="S31" s="23" t="str">
        <f t="shared" ca="1" si="5"/>
        <v>89/EG, Gardenia Road, Daman, 396210</v>
      </c>
      <c r="T31" s="23">
        <f t="shared" ca="1" si="6"/>
        <v>40</v>
      </c>
      <c r="U31" s="33" t="str">
        <f t="shared" ca="1" si="7"/>
        <v>0</v>
      </c>
      <c r="V31" s="29">
        <f t="shared" ca="1" si="8"/>
        <v>360</v>
      </c>
      <c r="W31" s="29">
        <f t="shared" ca="1" si="9"/>
        <v>360</v>
      </c>
      <c r="X31" s="23" t="s">
        <v>713</v>
      </c>
      <c r="Y31" s="40">
        <v>0.35208333333333336</v>
      </c>
      <c r="Z31" s="23"/>
      <c r="AA31" s="23"/>
      <c r="AB31" s="23"/>
      <c r="AC31" s="24"/>
    </row>
    <row r="32" spans="2:29" ht="16" x14ac:dyDescent="0.35">
      <c r="B32" s="5">
        <f t="shared" si="10"/>
        <v>29</v>
      </c>
      <c r="C32" s="6" t="s">
        <v>32</v>
      </c>
      <c r="D32" s="7">
        <v>200</v>
      </c>
      <c r="E32" s="32" t="str">
        <f t="shared" si="0"/>
        <v>20%</v>
      </c>
      <c r="G32" s="12">
        <f t="shared" si="11"/>
        <v>29</v>
      </c>
      <c r="H32" s="11" t="s">
        <v>135</v>
      </c>
      <c r="I32" s="11" t="s">
        <v>320</v>
      </c>
      <c r="J32" s="13" t="s">
        <v>507</v>
      </c>
      <c r="L32" s="21">
        <v>29</v>
      </c>
      <c r="M32" s="22">
        <v>44927</v>
      </c>
      <c r="N32" s="23"/>
      <c r="O32" s="23">
        <f t="shared" ca="1" si="1"/>
        <v>1</v>
      </c>
      <c r="P32" s="23">
        <f t="shared" ca="1" si="2"/>
        <v>49</v>
      </c>
      <c r="Q32" s="23">
        <f t="shared" ca="1" si="3"/>
        <v>120</v>
      </c>
      <c r="R32" s="23">
        <f t="shared" ca="1" si="4"/>
        <v>9</v>
      </c>
      <c r="S32" s="23" t="str">
        <f t="shared" ca="1" si="5"/>
        <v>89/AW, Water Lily Avenue, Bareilly, 243001</v>
      </c>
      <c r="T32" s="23">
        <f t="shared" ca="1" si="6"/>
        <v>150</v>
      </c>
      <c r="U32" s="33" t="str">
        <f t="shared" ca="1" si="7"/>
        <v>10%</v>
      </c>
      <c r="V32" s="29">
        <f t="shared" ca="1" si="8"/>
        <v>1350</v>
      </c>
      <c r="W32" s="29">
        <f t="shared" ca="1" si="9"/>
        <v>1215</v>
      </c>
      <c r="X32" s="23" t="s">
        <v>713</v>
      </c>
      <c r="Y32" s="40">
        <v>0.3527777777777778</v>
      </c>
      <c r="Z32" s="23"/>
      <c r="AA32" s="23"/>
      <c r="AB32" s="23"/>
      <c r="AC32" s="24"/>
    </row>
    <row r="33" spans="2:29" ht="16" x14ac:dyDescent="0.35">
      <c r="B33" s="5">
        <f t="shared" si="10"/>
        <v>30</v>
      </c>
      <c r="C33" s="6" t="s">
        <v>33</v>
      </c>
      <c r="D33" s="7">
        <v>250</v>
      </c>
      <c r="E33" s="32" t="str">
        <f t="shared" si="0"/>
        <v>20%</v>
      </c>
      <c r="G33" s="12">
        <f t="shared" si="11"/>
        <v>30</v>
      </c>
      <c r="H33" s="11" t="s">
        <v>136</v>
      </c>
      <c r="I33" s="11" t="s">
        <v>321</v>
      </c>
      <c r="J33" s="13" t="s">
        <v>508</v>
      </c>
      <c r="L33" s="21">
        <v>30</v>
      </c>
      <c r="M33" s="22">
        <v>44927</v>
      </c>
      <c r="N33" s="23"/>
      <c r="O33" s="23">
        <f t="shared" ca="1" si="1"/>
        <v>98</v>
      </c>
      <c r="P33" s="23">
        <f t="shared" ca="1" si="2"/>
        <v>132</v>
      </c>
      <c r="Q33" s="23">
        <f t="shared" ca="1" si="3"/>
        <v>100</v>
      </c>
      <c r="R33" s="23">
        <f t="shared" ca="1" si="4"/>
        <v>4</v>
      </c>
      <c r="S33" s="23" t="str">
        <f t="shared" ca="1" si="5"/>
        <v>56/EB, Bluebell Lane, Chandannagar, 712136</v>
      </c>
      <c r="T33" s="23">
        <f t="shared" ca="1" si="6"/>
        <v>80</v>
      </c>
      <c r="U33" s="33" t="str">
        <f t="shared" ca="1" si="7"/>
        <v>0</v>
      </c>
      <c r="V33" s="29">
        <f t="shared" ca="1" si="8"/>
        <v>320</v>
      </c>
      <c r="W33" s="29">
        <f t="shared" ca="1" si="9"/>
        <v>320</v>
      </c>
      <c r="X33" s="23" t="s">
        <v>713</v>
      </c>
      <c r="Y33" s="40">
        <v>0.35347222222222224</v>
      </c>
      <c r="Z33" s="23"/>
      <c r="AA33" s="23"/>
      <c r="AB33" s="23"/>
      <c r="AC33" s="24"/>
    </row>
    <row r="34" spans="2:29" ht="16" x14ac:dyDescent="0.35">
      <c r="B34" s="5">
        <f t="shared" si="10"/>
        <v>31</v>
      </c>
      <c r="C34" s="6" t="s">
        <v>34</v>
      </c>
      <c r="D34" s="7">
        <v>190</v>
      </c>
      <c r="E34" s="32" t="str">
        <f t="shared" si="0"/>
        <v>10%</v>
      </c>
      <c r="G34" s="12">
        <f t="shared" si="11"/>
        <v>31</v>
      </c>
      <c r="H34" s="11" t="s">
        <v>137</v>
      </c>
      <c r="I34" s="11" t="s">
        <v>322</v>
      </c>
      <c r="J34" s="13" t="s">
        <v>509</v>
      </c>
      <c r="L34" s="21">
        <v>31</v>
      </c>
      <c r="M34" s="22">
        <v>44927</v>
      </c>
      <c r="N34" s="23"/>
      <c r="O34" s="23">
        <f t="shared" ca="1" si="1"/>
        <v>9</v>
      </c>
      <c r="P34" s="23">
        <f t="shared" ca="1" si="2"/>
        <v>104</v>
      </c>
      <c r="Q34" s="23">
        <f t="shared" ca="1" si="3"/>
        <v>114</v>
      </c>
      <c r="R34" s="23">
        <f t="shared" ca="1" si="4"/>
        <v>10</v>
      </c>
      <c r="S34" s="23" t="str">
        <f t="shared" ca="1" si="5"/>
        <v>78/CZ, Zinnia Street, Vapi, 396195</v>
      </c>
      <c r="T34" s="23">
        <f t="shared" ca="1" si="6"/>
        <v>150</v>
      </c>
      <c r="U34" s="33" t="str">
        <f t="shared" ca="1" si="7"/>
        <v>10%</v>
      </c>
      <c r="V34" s="29">
        <f t="shared" ca="1" si="8"/>
        <v>1500</v>
      </c>
      <c r="W34" s="29">
        <f t="shared" ca="1" si="9"/>
        <v>1350</v>
      </c>
      <c r="X34" s="23" t="s">
        <v>713</v>
      </c>
      <c r="Y34" s="40">
        <v>0.35416666666666669</v>
      </c>
      <c r="Z34" s="23"/>
      <c r="AA34" s="23"/>
      <c r="AB34" s="23"/>
      <c r="AC34" s="24"/>
    </row>
    <row r="35" spans="2:29" ht="16" x14ac:dyDescent="0.35">
      <c r="B35" s="5">
        <f t="shared" si="10"/>
        <v>32</v>
      </c>
      <c r="C35" s="6" t="s">
        <v>35</v>
      </c>
      <c r="D35" s="7">
        <v>240</v>
      </c>
      <c r="E35" s="32" t="str">
        <f t="shared" si="0"/>
        <v>20%</v>
      </c>
      <c r="G35" s="12">
        <f t="shared" si="11"/>
        <v>32</v>
      </c>
      <c r="H35" s="11" t="s">
        <v>138</v>
      </c>
      <c r="I35" s="11" t="s">
        <v>323</v>
      </c>
      <c r="J35" s="13" t="s">
        <v>510</v>
      </c>
      <c r="L35" s="21">
        <v>32</v>
      </c>
      <c r="M35" s="22">
        <v>44927</v>
      </c>
      <c r="N35" s="23"/>
      <c r="O35" s="23">
        <f t="shared" ca="1" si="1"/>
        <v>44</v>
      </c>
      <c r="P35" s="23">
        <f t="shared" ca="1" si="2"/>
        <v>136</v>
      </c>
      <c r="Q35" s="23">
        <f t="shared" ca="1" si="3"/>
        <v>137</v>
      </c>
      <c r="R35" s="23">
        <f t="shared" ca="1" si="4"/>
        <v>9</v>
      </c>
      <c r="S35" s="23" t="str">
        <f t="shared" ca="1" si="5"/>
        <v>78/EF, Frangipani Lane, Cuttack, 753001</v>
      </c>
      <c r="T35" s="23">
        <f t="shared" ca="1" si="6"/>
        <v>40</v>
      </c>
      <c r="U35" s="33" t="str">
        <f t="shared" ca="1" si="7"/>
        <v>0</v>
      </c>
      <c r="V35" s="29">
        <f t="shared" ca="1" si="8"/>
        <v>360</v>
      </c>
      <c r="W35" s="29">
        <f t="shared" ca="1" si="9"/>
        <v>360</v>
      </c>
      <c r="X35" s="23" t="s">
        <v>713</v>
      </c>
      <c r="Y35" s="40">
        <v>0.35486111111111113</v>
      </c>
      <c r="Z35" s="23"/>
      <c r="AA35" s="23"/>
      <c r="AB35" s="23"/>
      <c r="AC35" s="24"/>
    </row>
    <row r="36" spans="2:29" ht="16" x14ac:dyDescent="0.35">
      <c r="B36" s="5">
        <f t="shared" si="10"/>
        <v>33</v>
      </c>
      <c r="C36" s="6" t="s">
        <v>36</v>
      </c>
      <c r="D36" s="7">
        <v>250</v>
      </c>
      <c r="E36" s="32" t="str">
        <f t="shared" si="0"/>
        <v>20%</v>
      </c>
      <c r="G36" s="12">
        <f t="shared" si="11"/>
        <v>33</v>
      </c>
      <c r="H36" s="11" t="s">
        <v>139</v>
      </c>
      <c r="I36" s="11" t="s">
        <v>324</v>
      </c>
      <c r="J36" s="13" t="s">
        <v>511</v>
      </c>
      <c r="L36" s="21">
        <v>33</v>
      </c>
      <c r="M36" s="22">
        <v>44927</v>
      </c>
      <c r="N36" s="23"/>
      <c r="O36" s="23">
        <f t="shared" ca="1" si="1"/>
        <v>6</v>
      </c>
      <c r="P36" s="23">
        <f t="shared" ca="1" si="2"/>
        <v>72</v>
      </c>
      <c r="Q36" s="23">
        <f t="shared" ca="1" si="3"/>
        <v>139</v>
      </c>
      <c r="R36" s="23">
        <f t="shared" ca="1" si="4"/>
        <v>2</v>
      </c>
      <c r="S36" s="23" t="str">
        <f t="shared" ca="1" si="5"/>
        <v>78/BT, Tulip Road, Ongole, 523001</v>
      </c>
      <c r="T36" s="23">
        <f t="shared" ca="1" si="6"/>
        <v>220</v>
      </c>
      <c r="U36" s="33" t="str">
        <f t="shared" ca="1" si="7"/>
        <v>20%</v>
      </c>
      <c r="V36" s="29">
        <f t="shared" ca="1" si="8"/>
        <v>440</v>
      </c>
      <c r="W36" s="29">
        <f t="shared" ca="1" si="9"/>
        <v>352</v>
      </c>
      <c r="X36" s="23" t="s">
        <v>713</v>
      </c>
      <c r="Y36" s="40">
        <v>0.35555555555555557</v>
      </c>
      <c r="Z36" s="23"/>
      <c r="AA36" s="23"/>
      <c r="AB36" s="23"/>
      <c r="AC36" s="24"/>
    </row>
    <row r="37" spans="2:29" ht="16" x14ac:dyDescent="0.35">
      <c r="B37" s="5">
        <f t="shared" si="10"/>
        <v>34</v>
      </c>
      <c r="C37" s="6" t="s">
        <v>37</v>
      </c>
      <c r="D37" s="7">
        <v>260</v>
      </c>
      <c r="E37" s="32" t="str">
        <f t="shared" si="0"/>
        <v>20%</v>
      </c>
      <c r="G37" s="12">
        <f t="shared" si="11"/>
        <v>34</v>
      </c>
      <c r="H37" s="11" t="s">
        <v>140</v>
      </c>
      <c r="I37" s="11" t="s">
        <v>325</v>
      </c>
      <c r="J37" s="13" t="s">
        <v>512</v>
      </c>
      <c r="L37" s="21">
        <v>34</v>
      </c>
      <c r="M37" s="22">
        <v>44927</v>
      </c>
      <c r="N37" s="23"/>
      <c r="O37" s="23">
        <f t="shared" ca="1" si="1"/>
        <v>15</v>
      </c>
      <c r="P37" s="23">
        <f t="shared" ca="1" si="2"/>
        <v>170</v>
      </c>
      <c r="Q37" s="23">
        <f t="shared" ca="1" si="3"/>
        <v>110</v>
      </c>
      <c r="R37" s="23">
        <f t="shared" ca="1" si="4"/>
        <v>7</v>
      </c>
      <c r="S37" s="23" t="str">
        <f t="shared" ca="1" si="5"/>
        <v>78/FN, Narcissus Street, Jalna, 431203</v>
      </c>
      <c r="T37" s="23">
        <f t="shared" ca="1" si="6"/>
        <v>150</v>
      </c>
      <c r="U37" s="33" t="str">
        <f t="shared" ca="1" si="7"/>
        <v>10%</v>
      </c>
      <c r="V37" s="29">
        <f t="shared" ca="1" si="8"/>
        <v>1050</v>
      </c>
      <c r="W37" s="29">
        <f t="shared" ca="1" si="9"/>
        <v>945</v>
      </c>
      <c r="X37" s="23" t="s">
        <v>713</v>
      </c>
      <c r="Y37" s="40">
        <v>0.35625000000000001</v>
      </c>
      <c r="Z37" s="23"/>
      <c r="AA37" s="23"/>
      <c r="AB37" s="23"/>
      <c r="AC37" s="24"/>
    </row>
    <row r="38" spans="2:29" ht="16" x14ac:dyDescent="0.35">
      <c r="B38" s="5">
        <f t="shared" si="10"/>
        <v>35</v>
      </c>
      <c r="C38" s="6" t="s">
        <v>38</v>
      </c>
      <c r="D38" s="7">
        <v>240</v>
      </c>
      <c r="E38" s="32" t="str">
        <f t="shared" si="0"/>
        <v>20%</v>
      </c>
      <c r="G38" s="12">
        <f t="shared" si="11"/>
        <v>35</v>
      </c>
      <c r="H38" s="11" t="s">
        <v>141</v>
      </c>
      <c r="I38" s="11" t="s">
        <v>326</v>
      </c>
      <c r="J38" s="13" t="s">
        <v>513</v>
      </c>
      <c r="L38" s="21">
        <v>35</v>
      </c>
      <c r="M38" s="22">
        <v>44927</v>
      </c>
      <c r="N38" s="23"/>
      <c r="O38" s="23">
        <f t="shared" ca="1" si="1"/>
        <v>37</v>
      </c>
      <c r="P38" s="23">
        <f t="shared" ca="1" si="2"/>
        <v>81</v>
      </c>
      <c r="Q38" s="23">
        <f t="shared" ca="1" si="3"/>
        <v>109</v>
      </c>
      <c r="R38" s="23">
        <f t="shared" ca="1" si="4"/>
        <v>6</v>
      </c>
      <c r="S38" s="23" t="str">
        <f t="shared" ca="1" si="5"/>
        <v>89/CC, Camellia Lane, Rohtak, 124001</v>
      </c>
      <c r="T38" s="23">
        <f t="shared" ca="1" si="6"/>
        <v>250</v>
      </c>
      <c r="U38" s="33" t="str">
        <f t="shared" ca="1" si="7"/>
        <v>20%</v>
      </c>
      <c r="V38" s="29">
        <f t="shared" ca="1" si="8"/>
        <v>1500</v>
      </c>
      <c r="W38" s="29">
        <f t="shared" ca="1" si="9"/>
        <v>1200</v>
      </c>
      <c r="X38" s="23" t="s">
        <v>714</v>
      </c>
      <c r="Y38" s="40">
        <v>0.35694444444444445</v>
      </c>
      <c r="Z38" s="23"/>
      <c r="AA38" s="23"/>
      <c r="AB38" s="23"/>
      <c r="AC38" s="24"/>
    </row>
    <row r="39" spans="2:29" ht="16" x14ac:dyDescent="0.35">
      <c r="B39" s="5">
        <f t="shared" si="10"/>
        <v>36</v>
      </c>
      <c r="C39" s="6" t="s">
        <v>39</v>
      </c>
      <c r="D39" s="7">
        <v>200</v>
      </c>
      <c r="E39" s="32" t="str">
        <f t="shared" si="0"/>
        <v>20%</v>
      </c>
      <c r="G39" s="12">
        <f t="shared" si="11"/>
        <v>36</v>
      </c>
      <c r="H39" s="11" t="s">
        <v>142</v>
      </c>
      <c r="I39" s="11" t="s">
        <v>327</v>
      </c>
      <c r="J39" s="13" t="s">
        <v>514</v>
      </c>
      <c r="L39" s="21">
        <v>36</v>
      </c>
      <c r="M39" s="22">
        <v>44927</v>
      </c>
      <c r="N39" s="23"/>
      <c r="O39" s="23">
        <f t="shared" ca="1" si="1"/>
        <v>9</v>
      </c>
      <c r="P39" s="23">
        <f t="shared" ca="1" si="2"/>
        <v>15</v>
      </c>
      <c r="Q39" s="23">
        <f t="shared" ca="1" si="3"/>
        <v>100</v>
      </c>
      <c r="R39" s="23">
        <f t="shared" ca="1" si="4"/>
        <v>7</v>
      </c>
      <c r="S39" s="23" t="str">
        <f t="shared" ca="1" si="5"/>
        <v>34/O, Orchid Lane, Kanpur, 208001</v>
      </c>
      <c r="T39" s="23">
        <f t="shared" ca="1" si="6"/>
        <v>150</v>
      </c>
      <c r="U39" s="33" t="str">
        <f t="shared" ca="1" si="7"/>
        <v>10%</v>
      </c>
      <c r="V39" s="29">
        <f t="shared" ca="1" si="8"/>
        <v>1050</v>
      </c>
      <c r="W39" s="29">
        <f t="shared" ca="1" si="9"/>
        <v>945</v>
      </c>
      <c r="X39" s="23" t="s">
        <v>714</v>
      </c>
      <c r="Y39" s="40">
        <v>0.3576388888888889</v>
      </c>
      <c r="Z39" s="23"/>
      <c r="AA39" s="23"/>
      <c r="AB39" s="23"/>
      <c r="AC39" s="24"/>
    </row>
    <row r="40" spans="2:29" ht="16" x14ac:dyDescent="0.35">
      <c r="B40" s="5">
        <f t="shared" si="10"/>
        <v>37</v>
      </c>
      <c r="C40" s="6" t="s">
        <v>40</v>
      </c>
      <c r="D40" s="7">
        <v>250</v>
      </c>
      <c r="E40" s="32" t="str">
        <f t="shared" si="0"/>
        <v>20%</v>
      </c>
      <c r="G40" s="12">
        <f t="shared" si="11"/>
        <v>37</v>
      </c>
      <c r="H40" s="11" t="s">
        <v>143</v>
      </c>
      <c r="I40" s="11" t="s">
        <v>328</v>
      </c>
      <c r="J40" s="13" t="s">
        <v>515</v>
      </c>
      <c r="L40" s="21">
        <v>37</v>
      </c>
      <c r="M40" s="22">
        <v>44927</v>
      </c>
      <c r="N40" s="23"/>
      <c r="O40" s="23">
        <f t="shared" ca="1" si="1"/>
        <v>43</v>
      </c>
      <c r="P40" s="23">
        <f t="shared" ca="1" si="2"/>
        <v>163</v>
      </c>
      <c r="Q40" s="23">
        <f t="shared" ca="1" si="3"/>
        <v>169</v>
      </c>
      <c r="R40" s="23">
        <f t="shared" ca="1" si="4"/>
        <v>1</v>
      </c>
      <c r="S40" s="23" t="str">
        <f t="shared" ca="1" si="5"/>
        <v>45/FG, Gardenia Lane, Hosur, 635109</v>
      </c>
      <c r="T40" s="23">
        <f t="shared" ca="1" si="6"/>
        <v>40</v>
      </c>
      <c r="U40" s="33" t="str">
        <f t="shared" ca="1" si="7"/>
        <v>0</v>
      </c>
      <c r="V40" s="29">
        <f t="shared" ca="1" si="8"/>
        <v>40</v>
      </c>
      <c r="W40" s="29">
        <f t="shared" ca="1" si="9"/>
        <v>40</v>
      </c>
      <c r="X40" s="23" t="s">
        <v>714</v>
      </c>
      <c r="Y40" s="40">
        <v>0.35833333333333334</v>
      </c>
      <c r="Z40" s="23"/>
      <c r="AA40" s="23"/>
      <c r="AB40" s="23"/>
      <c r="AC40" s="24"/>
    </row>
    <row r="41" spans="2:29" ht="16" x14ac:dyDescent="0.35">
      <c r="B41" s="5">
        <f t="shared" si="10"/>
        <v>38</v>
      </c>
      <c r="C41" s="6" t="s">
        <v>41</v>
      </c>
      <c r="D41" s="7">
        <v>240</v>
      </c>
      <c r="E41" s="32" t="str">
        <f t="shared" si="0"/>
        <v>20%</v>
      </c>
      <c r="G41" s="12">
        <f t="shared" si="11"/>
        <v>38</v>
      </c>
      <c r="H41" s="11" t="s">
        <v>144</v>
      </c>
      <c r="I41" s="11" t="s">
        <v>329</v>
      </c>
      <c r="J41" s="13" t="s">
        <v>516</v>
      </c>
      <c r="L41" s="21">
        <v>38</v>
      </c>
      <c r="M41" s="22">
        <v>44927</v>
      </c>
      <c r="N41" s="23"/>
      <c r="O41" s="23">
        <f t="shared" ca="1" si="1"/>
        <v>70</v>
      </c>
      <c r="P41" s="23">
        <f t="shared" ca="1" si="2"/>
        <v>185</v>
      </c>
      <c r="Q41" s="23">
        <f t="shared" ca="1" si="3"/>
        <v>163</v>
      </c>
      <c r="R41" s="23">
        <f t="shared" ca="1" si="4"/>
        <v>3</v>
      </c>
      <c r="S41" s="23" t="str">
        <f t="shared" ca="1" si="5"/>
        <v>89/GC, Camellia Road, Kishanganj, 855107</v>
      </c>
      <c r="T41" s="23">
        <f t="shared" ca="1" si="6"/>
        <v>100</v>
      </c>
      <c r="U41" s="33" t="str">
        <f t="shared" ca="1" si="7"/>
        <v>5%</v>
      </c>
      <c r="V41" s="29">
        <f t="shared" ca="1" si="8"/>
        <v>300</v>
      </c>
      <c r="W41" s="29">
        <f t="shared" ca="1" si="9"/>
        <v>285</v>
      </c>
      <c r="X41" s="23" t="s">
        <v>714</v>
      </c>
      <c r="Y41" s="40">
        <v>0.35902777777777778</v>
      </c>
      <c r="Z41" s="23"/>
      <c r="AA41" s="23"/>
      <c r="AB41" s="23"/>
      <c r="AC41" s="24"/>
    </row>
    <row r="42" spans="2:29" ht="16" x14ac:dyDescent="0.35">
      <c r="B42" s="5">
        <f t="shared" si="10"/>
        <v>39</v>
      </c>
      <c r="C42" s="6" t="s">
        <v>42</v>
      </c>
      <c r="D42" s="7">
        <v>250</v>
      </c>
      <c r="E42" s="32" t="str">
        <f t="shared" si="0"/>
        <v>20%</v>
      </c>
      <c r="G42" s="12">
        <f t="shared" si="11"/>
        <v>39</v>
      </c>
      <c r="H42" s="11" t="s">
        <v>145</v>
      </c>
      <c r="I42" s="11" t="s">
        <v>330</v>
      </c>
      <c r="J42" s="13" t="s">
        <v>517</v>
      </c>
      <c r="L42" s="21">
        <v>39</v>
      </c>
      <c r="M42" s="22">
        <v>44927</v>
      </c>
      <c r="N42" s="23"/>
      <c r="O42" s="23">
        <f t="shared" ca="1" si="1"/>
        <v>57</v>
      </c>
      <c r="P42" s="23">
        <f t="shared" ca="1" si="2"/>
        <v>9</v>
      </c>
      <c r="Q42" s="23">
        <f t="shared" ca="1" si="3"/>
        <v>134</v>
      </c>
      <c r="R42" s="23">
        <f t="shared" ca="1" si="4"/>
        <v>6</v>
      </c>
      <c r="S42" s="23" t="str">
        <f t="shared" ca="1" si="5"/>
        <v>89/I, Marigold Street, Jaipur, 302001</v>
      </c>
      <c r="T42" s="23">
        <f t="shared" ca="1" si="6"/>
        <v>200</v>
      </c>
      <c r="U42" s="33" t="str">
        <f t="shared" ca="1" si="7"/>
        <v>20%</v>
      </c>
      <c r="V42" s="29">
        <f t="shared" ca="1" si="8"/>
        <v>1200</v>
      </c>
      <c r="W42" s="29">
        <f t="shared" ca="1" si="9"/>
        <v>960</v>
      </c>
      <c r="X42" s="23" t="s">
        <v>714</v>
      </c>
      <c r="Y42" s="40">
        <v>0.35972222222222222</v>
      </c>
      <c r="Z42" s="23"/>
      <c r="AA42" s="23"/>
      <c r="AB42" s="23"/>
      <c r="AC42" s="24"/>
    </row>
    <row r="43" spans="2:29" ht="16" x14ac:dyDescent="0.35">
      <c r="B43" s="5">
        <f t="shared" si="10"/>
        <v>40</v>
      </c>
      <c r="C43" s="6" t="s">
        <v>43</v>
      </c>
      <c r="D43" s="7">
        <v>260</v>
      </c>
      <c r="E43" s="32" t="str">
        <f t="shared" si="0"/>
        <v>20%</v>
      </c>
      <c r="G43" s="12">
        <f t="shared" si="11"/>
        <v>40</v>
      </c>
      <c r="H43" s="11" t="s">
        <v>146</v>
      </c>
      <c r="I43" s="11" t="s">
        <v>331</v>
      </c>
      <c r="J43" s="13" t="s">
        <v>518</v>
      </c>
      <c r="L43" s="21">
        <v>40</v>
      </c>
      <c r="M43" s="22">
        <v>44927</v>
      </c>
      <c r="N43" s="23"/>
      <c r="O43" s="23">
        <f t="shared" ca="1" si="1"/>
        <v>79</v>
      </c>
      <c r="P43" s="23">
        <f t="shared" ca="1" si="2"/>
        <v>45</v>
      </c>
      <c r="Q43" s="23">
        <f t="shared" ca="1" si="3"/>
        <v>161</v>
      </c>
      <c r="R43" s="23">
        <f t="shared" ca="1" si="4"/>
        <v>7</v>
      </c>
      <c r="S43" s="23" t="str">
        <f t="shared" ca="1" si="5"/>
        <v>23/AS, Sunflower Road, Udaipur, 313001</v>
      </c>
      <c r="T43" s="23">
        <f t="shared" ca="1" si="6"/>
        <v>90</v>
      </c>
      <c r="U43" s="33" t="str">
        <f t="shared" ca="1" si="7"/>
        <v>0</v>
      </c>
      <c r="V43" s="29">
        <f t="shared" ca="1" si="8"/>
        <v>630</v>
      </c>
      <c r="W43" s="29">
        <f t="shared" ca="1" si="9"/>
        <v>630</v>
      </c>
      <c r="X43" s="23" t="s">
        <v>714</v>
      </c>
      <c r="Y43" s="40">
        <v>0.36041666666666666</v>
      </c>
      <c r="Z43" s="23"/>
      <c r="AA43" s="23"/>
      <c r="AB43" s="23"/>
      <c r="AC43" s="24"/>
    </row>
    <row r="44" spans="2:29" ht="16" x14ac:dyDescent="0.35">
      <c r="B44" s="5">
        <f t="shared" si="10"/>
        <v>41</v>
      </c>
      <c r="C44" s="6" t="s">
        <v>44</v>
      </c>
      <c r="D44" s="7">
        <v>30</v>
      </c>
      <c r="E44" s="32" t="str">
        <f t="shared" si="0"/>
        <v>0</v>
      </c>
      <c r="G44" s="12">
        <f t="shared" si="11"/>
        <v>41</v>
      </c>
      <c r="H44" s="11" t="s">
        <v>147</v>
      </c>
      <c r="I44" s="11" t="s">
        <v>332</v>
      </c>
      <c r="J44" s="13" t="s">
        <v>519</v>
      </c>
      <c r="L44" s="21">
        <v>41</v>
      </c>
      <c r="M44" s="22">
        <v>44927</v>
      </c>
      <c r="N44" s="23"/>
      <c r="O44" s="23">
        <f t="shared" ca="1" si="1"/>
        <v>91</v>
      </c>
      <c r="P44" s="23">
        <f t="shared" ca="1" si="2"/>
        <v>135</v>
      </c>
      <c r="Q44" s="23">
        <f t="shared" ca="1" si="3"/>
        <v>117</v>
      </c>
      <c r="R44" s="23">
        <f t="shared" ca="1" si="4"/>
        <v>1</v>
      </c>
      <c r="S44" s="23" t="str">
        <f t="shared" ca="1" si="5"/>
        <v>34/EE, Ebony Street, Chittoor, 517001</v>
      </c>
      <c r="T44" s="23">
        <f t="shared" ca="1" si="6"/>
        <v>100</v>
      </c>
      <c r="U44" s="33" t="str">
        <f t="shared" ca="1" si="7"/>
        <v>5%</v>
      </c>
      <c r="V44" s="29">
        <f t="shared" ca="1" si="8"/>
        <v>100</v>
      </c>
      <c r="W44" s="29">
        <f t="shared" ca="1" si="9"/>
        <v>95</v>
      </c>
      <c r="X44" s="23" t="s">
        <v>714</v>
      </c>
      <c r="Y44" s="40">
        <v>0.3611111111111111</v>
      </c>
      <c r="Z44" s="23"/>
      <c r="AA44" s="23"/>
      <c r="AB44" s="23"/>
      <c r="AC44" s="24"/>
    </row>
    <row r="45" spans="2:29" ht="16" x14ac:dyDescent="0.35">
      <c r="B45" s="5">
        <f t="shared" si="10"/>
        <v>42</v>
      </c>
      <c r="C45" s="6" t="s">
        <v>45</v>
      </c>
      <c r="D45" s="7">
        <v>30</v>
      </c>
      <c r="E45" s="32" t="str">
        <f t="shared" si="0"/>
        <v>0</v>
      </c>
      <c r="G45" s="12">
        <f t="shared" si="11"/>
        <v>42</v>
      </c>
      <c r="H45" s="11" t="s">
        <v>148</v>
      </c>
      <c r="I45" s="11" t="s">
        <v>333</v>
      </c>
      <c r="J45" s="13" t="s">
        <v>520</v>
      </c>
      <c r="L45" s="21">
        <v>42</v>
      </c>
      <c r="M45" s="22">
        <v>44927</v>
      </c>
      <c r="N45" s="23"/>
      <c r="O45" s="23">
        <f t="shared" ca="1" si="1"/>
        <v>45</v>
      </c>
      <c r="P45" s="23">
        <f t="shared" ca="1" si="2"/>
        <v>27</v>
      </c>
      <c r="Q45" s="23">
        <f t="shared" ca="1" si="3"/>
        <v>124</v>
      </c>
      <c r="R45" s="23">
        <f t="shared" ca="1" si="4"/>
        <v>10</v>
      </c>
      <c r="S45" s="23" t="str">
        <f t="shared" ca="1" si="5"/>
        <v>45/AA, Acacia Avenue, Guwahati, 781001</v>
      </c>
      <c r="T45" s="23">
        <f t="shared" ca="1" si="6"/>
        <v>50</v>
      </c>
      <c r="U45" s="33" t="str">
        <f t="shared" ca="1" si="7"/>
        <v>0</v>
      </c>
      <c r="V45" s="29">
        <f t="shared" ca="1" si="8"/>
        <v>500</v>
      </c>
      <c r="W45" s="29">
        <f t="shared" ca="1" si="9"/>
        <v>500</v>
      </c>
      <c r="X45" s="23" t="s">
        <v>714</v>
      </c>
      <c r="Y45" s="40">
        <v>0.36180555555555555</v>
      </c>
      <c r="Z45" s="23"/>
      <c r="AA45" s="23"/>
      <c r="AB45" s="23"/>
      <c r="AC45" s="24"/>
    </row>
    <row r="46" spans="2:29" ht="16" x14ac:dyDescent="0.35">
      <c r="B46" s="5">
        <f t="shared" si="10"/>
        <v>43</v>
      </c>
      <c r="C46" s="6" t="s">
        <v>46</v>
      </c>
      <c r="D46" s="7">
        <v>40</v>
      </c>
      <c r="E46" s="32" t="str">
        <f t="shared" si="0"/>
        <v>0</v>
      </c>
      <c r="G46" s="12">
        <f t="shared" si="11"/>
        <v>43</v>
      </c>
      <c r="H46" s="11" t="s">
        <v>149</v>
      </c>
      <c r="I46" s="11" t="s">
        <v>334</v>
      </c>
      <c r="J46" s="13" t="s">
        <v>521</v>
      </c>
      <c r="L46" s="21">
        <v>43</v>
      </c>
      <c r="M46" s="22">
        <v>44927</v>
      </c>
      <c r="N46" s="23"/>
      <c r="O46" s="23">
        <f t="shared" ca="1" si="1"/>
        <v>4</v>
      </c>
      <c r="P46" s="23">
        <f t="shared" ca="1" si="2"/>
        <v>77</v>
      </c>
      <c r="Q46" s="23">
        <f t="shared" ca="1" si="3"/>
        <v>140</v>
      </c>
      <c r="R46" s="23">
        <f t="shared" ca="1" si="4"/>
        <v>8</v>
      </c>
      <c r="S46" s="23" t="str">
        <f t="shared" ca="1" si="5"/>
        <v>23/BY, Yarrow Street, Ramanathapuram, 623501</v>
      </c>
      <c r="T46" s="23">
        <f t="shared" ca="1" si="6"/>
        <v>200</v>
      </c>
      <c r="U46" s="33" t="str">
        <f t="shared" ca="1" si="7"/>
        <v>20%</v>
      </c>
      <c r="V46" s="29">
        <f t="shared" ca="1" si="8"/>
        <v>1600</v>
      </c>
      <c r="W46" s="29">
        <f t="shared" ca="1" si="9"/>
        <v>1280</v>
      </c>
      <c r="X46" s="23" t="s">
        <v>714</v>
      </c>
      <c r="Y46" s="40">
        <v>0.36249999999999999</v>
      </c>
      <c r="Z46" s="23"/>
      <c r="AA46" s="23"/>
      <c r="AB46" s="23"/>
      <c r="AC46" s="24"/>
    </row>
    <row r="47" spans="2:29" ht="16" x14ac:dyDescent="0.35">
      <c r="B47" s="5">
        <f t="shared" si="10"/>
        <v>44</v>
      </c>
      <c r="C47" s="6" t="s">
        <v>47</v>
      </c>
      <c r="D47" s="7">
        <v>40</v>
      </c>
      <c r="E47" s="32" t="str">
        <f t="shared" si="0"/>
        <v>0</v>
      </c>
      <c r="G47" s="12">
        <f t="shared" si="11"/>
        <v>44</v>
      </c>
      <c r="H47" s="11" t="s">
        <v>150</v>
      </c>
      <c r="I47" s="11" t="s">
        <v>335</v>
      </c>
      <c r="J47" s="13" t="s">
        <v>522</v>
      </c>
      <c r="L47" s="21">
        <v>44</v>
      </c>
      <c r="M47" s="22">
        <v>44927</v>
      </c>
      <c r="N47" s="23"/>
      <c r="O47" s="23">
        <f ca="1">RANDBETWEEN(1,100)</f>
        <v>98</v>
      </c>
      <c r="P47" s="23">
        <f t="shared" ca="1" si="2"/>
        <v>62</v>
      </c>
      <c r="Q47" s="23">
        <f t="shared" ca="1" si="3"/>
        <v>117</v>
      </c>
      <c r="R47" s="23">
        <f t="shared" ca="1" si="4"/>
        <v>5</v>
      </c>
      <c r="S47" s="23" t="str">
        <f t="shared" ca="1" si="5"/>
        <v>67/BJ, Jasmine Avenue, Shimoga, 577201</v>
      </c>
      <c r="T47" s="23">
        <f t="shared" ca="1" si="6"/>
        <v>80</v>
      </c>
      <c r="U47" s="33" t="str">
        <f t="shared" ca="1" si="7"/>
        <v>0</v>
      </c>
      <c r="V47" s="29">
        <f t="shared" ca="1" si="8"/>
        <v>400</v>
      </c>
      <c r="W47" s="29">
        <f t="shared" ca="1" si="9"/>
        <v>400</v>
      </c>
      <c r="X47" s="23" t="s">
        <v>714</v>
      </c>
      <c r="Y47" s="40">
        <v>0.36319444444444443</v>
      </c>
      <c r="Z47" s="23"/>
      <c r="AA47" s="23"/>
      <c r="AB47" s="23"/>
      <c r="AC47" s="24"/>
    </row>
    <row r="48" spans="2:29" ht="16" x14ac:dyDescent="0.35">
      <c r="B48" s="5">
        <f t="shared" si="10"/>
        <v>45</v>
      </c>
      <c r="C48" s="6" t="s">
        <v>48</v>
      </c>
      <c r="D48" s="7">
        <v>50</v>
      </c>
      <c r="E48" s="32" t="str">
        <f t="shared" si="0"/>
        <v>0</v>
      </c>
      <c r="G48" s="12">
        <f t="shared" si="11"/>
        <v>45</v>
      </c>
      <c r="H48" s="11" t="s">
        <v>151</v>
      </c>
      <c r="I48" s="11" t="s">
        <v>336</v>
      </c>
      <c r="J48" s="13" t="s">
        <v>523</v>
      </c>
      <c r="L48" s="21">
        <v>45</v>
      </c>
      <c r="M48" s="22">
        <v>44927</v>
      </c>
      <c r="N48" s="23"/>
      <c r="O48" s="23">
        <f t="shared" ca="1" si="1"/>
        <v>11</v>
      </c>
      <c r="P48" s="23">
        <f t="shared" ca="1" si="2"/>
        <v>67</v>
      </c>
      <c r="Q48" s="23">
        <f t="shared" ca="1" si="3"/>
        <v>113</v>
      </c>
      <c r="R48" s="23">
        <f t="shared" ca="1" si="4"/>
        <v>7</v>
      </c>
      <c r="S48" s="23" t="str">
        <f t="shared" ca="1" si="5"/>
        <v>45/BO, Orchid Street, Vatakara, 673101</v>
      </c>
      <c r="T48" s="23">
        <f t="shared" ca="1" si="6"/>
        <v>180</v>
      </c>
      <c r="U48" s="33" t="str">
        <f t="shared" ca="1" si="7"/>
        <v>10%</v>
      </c>
      <c r="V48" s="29">
        <f t="shared" ca="1" si="8"/>
        <v>1260</v>
      </c>
      <c r="W48" s="29">
        <f t="shared" ca="1" si="9"/>
        <v>1134</v>
      </c>
      <c r="X48" s="23" t="s">
        <v>714</v>
      </c>
      <c r="Y48" s="40">
        <v>0.36388888888888887</v>
      </c>
      <c r="Z48" s="23"/>
      <c r="AA48" s="23"/>
      <c r="AB48" s="23"/>
      <c r="AC48" s="24"/>
    </row>
    <row r="49" spans="2:29" ht="16" x14ac:dyDescent="0.35">
      <c r="B49" s="5">
        <f t="shared" si="10"/>
        <v>46</v>
      </c>
      <c r="C49" s="6" t="s">
        <v>49</v>
      </c>
      <c r="D49" s="7">
        <v>40</v>
      </c>
      <c r="E49" s="32" t="str">
        <f t="shared" si="0"/>
        <v>0</v>
      </c>
      <c r="G49" s="12">
        <f t="shared" si="11"/>
        <v>46</v>
      </c>
      <c r="H49" s="11" t="s">
        <v>152</v>
      </c>
      <c r="I49" s="11" t="s">
        <v>337</v>
      </c>
      <c r="J49" s="13" t="s">
        <v>524</v>
      </c>
      <c r="L49" s="21">
        <v>46</v>
      </c>
      <c r="M49" s="22">
        <v>44927</v>
      </c>
      <c r="N49" s="23"/>
      <c r="O49" s="23">
        <f t="shared" ca="1" si="1"/>
        <v>83</v>
      </c>
      <c r="P49" s="23">
        <f t="shared" ca="1" si="2"/>
        <v>110</v>
      </c>
      <c r="Q49" s="23">
        <f t="shared" ca="1" si="3"/>
        <v>122</v>
      </c>
      <c r="R49" s="23">
        <f t="shared" ca="1" si="4"/>
        <v>3</v>
      </c>
      <c r="S49" s="23" t="str">
        <f t="shared" ca="1" si="5"/>
        <v>67/DF, Frangipani Road, Yavatmal, 445001</v>
      </c>
      <c r="T49" s="23">
        <f t="shared" ca="1" si="6"/>
        <v>40</v>
      </c>
      <c r="U49" s="33" t="str">
        <f t="shared" ca="1" si="7"/>
        <v>0</v>
      </c>
      <c r="V49" s="29">
        <f t="shared" ca="1" si="8"/>
        <v>120</v>
      </c>
      <c r="W49" s="29">
        <f t="shared" ca="1" si="9"/>
        <v>120</v>
      </c>
      <c r="X49" s="23" t="s">
        <v>714</v>
      </c>
      <c r="Y49" s="40">
        <v>0.36458333333333331</v>
      </c>
      <c r="Z49" s="23"/>
      <c r="AA49" s="23"/>
      <c r="AB49" s="23"/>
      <c r="AC49" s="24"/>
    </row>
    <row r="50" spans="2:29" ht="16" x14ac:dyDescent="0.35">
      <c r="B50" s="5">
        <f t="shared" si="10"/>
        <v>47</v>
      </c>
      <c r="C50" s="6" t="s">
        <v>50</v>
      </c>
      <c r="D50" s="7">
        <v>30</v>
      </c>
      <c r="E50" s="32" t="str">
        <f t="shared" si="0"/>
        <v>0</v>
      </c>
      <c r="G50" s="12">
        <f t="shared" si="11"/>
        <v>47</v>
      </c>
      <c r="H50" s="11" t="s">
        <v>153</v>
      </c>
      <c r="I50" s="11" t="s">
        <v>338</v>
      </c>
      <c r="J50" s="13" t="s">
        <v>525</v>
      </c>
      <c r="L50" s="21">
        <v>47</v>
      </c>
      <c r="M50" s="22">
        <v>44927</v>
      </c>
      <c r="N50" s="23"/>
      <c r="O50" s="23">
        <f t="shared" ca="1" si="1"/>
        <v>70</v>
      </c>
      <c r="P50" s="23">
        <f t="shared" ca="1" si="2"/>
        <v>49</v>
      </c>
      <c r="Q50" s="23">
        <f t="shared" ca="1" si="3"/>
        <v>125</v>
      </c>
      <c r="R50" s="23">
        <f t="shared" ca="1" si="4"/>
        <v>5</v>
      </c>
      <c r="S50" s="23" t="str">
        <f t="shared" ca="1" si="5"/>
        <v>89/AW, Water Lily Avenue, Bareilly, 243001</v>
      </c>
      <c r="T50" s="23">
        <f t="shared" ca="1" si="6"/>
        <v>100</v>
      </c>
      <c r="U50" s="33" t="str">
        <f t="shared" ca="1" si="7"/>
        <v>5%</v>
      </c>
      <c r="V50" s="29">
        <f t="shared" ca="1" si="8"/>
        <v>500</v>
      </c>
      <c r="W50" s="29">
        <f t="shared" ca="1" si="9"/>
        <v>475</v>
      </c>
      <c r="X50" s="23" t="s">
        <v>714</v>
      </c>
      <c r="Y50" s="40">
        <v>0.36527777777777776</v>
      </c>
      <c r="Z50" s="23"/>
      <c r="AA50" s="23"/>
      <c r="AB50" s="23"/>
      <c r="AC50" s="24"/>
    </row>
    <row r="51" spans="2:29" ht="16" x14ac:dyDescent="0.35">
      <c r="B51" s="5">
        <f t="shared" si="10"/>
        <v>48</v>
      </c>
      <c r="C51" s="6" t="s">
        <v>51</v>
      </c>
      <c r="D51" s="7">
        <v>60</v>
      </c>
      <c r="E51" s="32" t="str">
        <f t="shared" si="0"/>
        <v>0</v>
      </c>
      <c r="G51" s="12">
        <f t="shared" si="11"/>
        <v>48</v>
      </c>
      <c r="H51" s="11" t="s">
        <v>154</v>
      </c>
      <c r="I51" s="11" t="s">
        <v>339</v>
      </c>
      <c r="J51" s="13" t="s">
        <v>526</v>
      </c>
      <c r="L51" s="21">
        <v>48</v>
      </c>
      <c r="M51" s="22">
        <v>44927</v>
      </c>
      <c r="N51" s="23"/>
      <c r="O51" s="23">
        <f t="shared" ca="1" si="1"/>
        <v>84</v>
      </c>
      <c r="P51" s="23">
        <f t="shared" ca="1" si="2"/>
        <v>79</v>
      </c>
      <c r="Q51" s="23">
        <f t="shared" ca="1" si="3"/>
        <v>114</v>
      </c>
      <c r="R51" s="23">
        <f t="shared" ca="1" si="4"/>
        <v>7</v>
      </c>
      <c r="S51" s="23" t="str">
        <f t="shared" ca="1" si="5"/>
        <v>34/CA, Acacia Road, Rewa, 486001</v>
      </c>
      <c r="T51" s="23">
        <f t="shared" ca="1" si="6"/>
        <v>40</v>
      </c>
      <c r="U51" s="33" t="str">
        <f t="shared" ca="1" si="7"/>
        <v>0</v>
      </c>
      <c r="V51" s="29">
        <f t="shared" ca="1" si="8"/>
        <v>280</v>
      </c>
      <c r="W51" s="29">
        <f t="shared" ca="1" si="9"/>
        <v>280</v>
      </c>
      <c r="X51" s="23" t="s">
        <v>713</v>
      </c>
      <c r="Y51" s="40">
        <v>0.3659722222222222</v>
      </c>
      <c r="Z51" s="23"/>
      <c r="AA51" s="23"/>
      <c r="AB51" s="23"/>
      <c r="AC51" s="24"/>
    </row>
    <row r="52" spans="2:29" ht="16" x14ac:dyDescent="0.35">
      <c r="B52" s="5">
        <f t="shared" si="10"/>
        <v>49</v>
      </c>
      <c r="C52" s="6" t="s">
        <v>52</v>
      </c>
      <c r="D52" s="7">
        <v>60</v>
      </c>
      <c r="E52" s="32" t="str">
        <f t="shared" si="0"/>
        <v>0</v>
      </c>
      <c r="G52" s="12">
        <f t="shared" si="11"/>
        <v>49</v>
      </c>
      <c r="H52" s="11" t="s">
        <v>155</v>
      </c>
      <c r="I52" s="11" t="s">
        <v>340</v>
      </c>
      <c r="J52" s="13" t="s">
        <v>527</v>
      </c>
      <c r="L52" s="21">
        <v>49</v>
      </c>
      <c r="M52" s="22">
        <v>44927</v>
      </c>
      <c r="N52" s="23"/>
      <c r="O52" s="23">
        <f t="shared" ca="1" si="1"/>
        <v>13</v>
      </c>
      <c r="P52" s="23">
        <f t="shared" ca="1" si="2"/>
        <v>113</v>
      </c>
      <c r="Q52" s="23">
        <f t="shared" ca="1" si="3"/>
        <v>109</v>
      </c>
      <c r="R52" s="23">
        <f t="shared" ca="1" si="4"/>
        <v>3</v>
      </c>
      <c r="S52" s="23" t="str">
        <f t="shared" ca="1" si="5"/>
        <v>89/DI, Ixora Avenue, Aligarh, 202001</v>
      </c>
      <c r="T52" s="23">
        <f t="shared" ca="1" si="6"/>
        <v>200</v>
      </c>
      <c r="U52" s="33" t="str">
        <f t="shared" ca="1" si="7"/>
        <v>20%</v>
      </c>
      <c r="V52" s="29">
        <f t="shared" ca="1" si="8"/>
        <v>600</v>
      </c>
      <c r="W52" s="29">
        <f t="shared" ca="1" si="9"/>
        <v>480</v>
      </c>
      <c r="X52" s="23" t="s">
        <v>713</v>
      </c>
      <c r="Y52" s="40">
        <v>0.36666666666666664</v>
      </c>
      <c r="Z52" s="23"/>
      <c r="AA52" s="23"/>
      <c r="AB52" s="23"/>
      <c r="AC52" s="24"/>
    </row>
    <row r="53" spans="2:29" ht="16" x14ac:dyDescent="0.35">
      <c r="B53" s="5">
        <f t="shared" si="10"/>
        <v>50</v>
      </c>
      <c r="C53" s="6" t="s">
        <v>53</v>
      </c>
      <c r="D53" s="7">
        <v>40</v>
      </c>
      <c r="E53" s="32" t="str">
        <f t="shared" si="0"/>
        <v>0</v>
      </c>
      <c r="G53" s="12">
        <f t="shared" si="11"/>
        <v>50</v>
      </c>
      <c r="H53" s="11" t="s">
        <v>156</v>
      </c>
      <c r="I53" s="11" t="s">
        <v>341</v>
      </c>
      <c r="J53" s="13" t="s">
        <v>528</v>
      </c>
      <c r="L53" s="21">
        <v>50</v>
      </c>
      <c r="M53" s="22">
        <v>44927</v>
      </c>
      <c r="N53" s="23"/>
      <c r="O53" s="23">
        <f t="shared" ca="1" si="1"/>
        <v>14</v>
      </c>
      <c r="P53" s="23">
        <f t="shared" ca="1" si="2"/>
        <v>58</v>
      </c>
      <c r="Q53" s="23">
        <f t="shared" ca="1" si="3"/>
        <v>129</v>
      </c>
      <c r="R53" s="23">
        <f t="shared" ca="1" si="4"/>
        <v>5</v>
      </c>
      <c r="S53" s="23" t="str">
        <f t="shared" ca="1" si="5"/>
        <v>78/BF, Frangipani Avenue, Kakinada, 533001</v>
      </c>
      <c r="T53" s="23">
        <f t="shared" ca="1" si="6"/>
        <v>170</v>
      </c>
      <c r="U53" s="33" t="str">
        <f t="shared" ca="1" si="7"/>
        <v>10%</v>
      </c>
      <c r="V53" s="29">
        <f t="shared" ca="1" si="8"/>
        <v>850</v>
      </c>
      <c r="W53" s="29">
        <f t="shared" ca="1" si="9"/>
        <v>765</v>
      </c>
      <c r="X53" s="23" t="s">
        <v>713</v>
      </c>
      <c r="Y53" s="40">
        <v>0.36736111111111114</v>
      </c>
      <c r="Z53" s="23"/>
      <c r="AA53" s="23"/>
      <c r="AB53" s="23"/>
      <c r="AC53" s="24"/>
    </row>
    <row r="54" spans="2:29" ht="16" x14ac:dyDescent="0.35">
      <c r="B54" s="5">
        <f t="shared" si="10"/>
        <v>51</v>
      </c>
      <c r="C54" s="6" t="s">
        <v>54</v>
      </c>
      <c r="D54" s="7">
        <v>190</v>
      </c>
      <c r="E54" s="32" t="str">
        <f t="shared" si="0"/>
        <v>10%</v>
      </c>
      <c r="G54" s="12">
        <f t="shared" si="11"/>
        <v>51</v>
      </c>
      <c r="H54" s="11" t="s">
        <v>157</v>
      </c>
      <c r="I54" s="11" t="s">
        <v>342</v>
      </c>
      <c r="J54" s="13" t="s">
        <v>529</v>
      </c>
      <c r="L54" s="21">
        <v>51</v>
      </c>
      <c r="M54" s="22">
        <v>44927</v>
      </c>
      <c r="N54" s="23"/>
      <c r="O54" s="23">
        <f t="shared" ca="1" si="1"/>
        <v>60</v>
      </c>
      <c r="P54" s="23">
        <f t="shared" ca="1" si="2"/>
        <v>122</v>
      </c>
      <c r="Q54" s="23">
        <f t="shared" ca="1" si="3"/>
        <v>136</v>
      </c>
      <c r="R54" s="23">
        <f t="shared" ca="1" si="4"/>
        <v>3</v>
      </c>
      <c r="S54" s="23" t="str">
        <f t="shared" ca="1" si="5"/>
        <v>78/DR, Rosewood Lane, Baripada, 757001</v>
      </c>
      <c r="T54" s="23">
        <f t="shared" ca="1" si="6"/>
        <v>120</v>
      </c>
      <c r="U54" s="33" t="str">
        <f t="shared" ca="1" si="7"/>
        <v>5%</v>
      </c>
      <c r="V54" s="29">
        <f t="shared" ca="1" si="8"/>
        <v>360</v>
      </c>
      <c r="W54" s="29">
        <f t="shared" ca="1" si="9"/>
        <v>342</v>
      </c>
      <c r="X54" s="23" t="s">
        <v>713</v>
      </c>
      <c r="Y54" s="40">
        <v>0.36805555555555558</v>
      </c>
      <c r="Z54" s="23"/>
      <c r="AA54" s="23"/>
      <c r="AB54" s="23"/>
      <c r="AC54" s="24"/>
    </row>
    <row r="55" spans="2:29" ht="16" x14ac:dyDescent="0.35">
      <c r="B55" s="5">
        <f t="shared" si="10"/>
        <v>52</v>
      </c>
      <c r="C55" s="6" t="s">
        <v>55</v>
      </c>
      <c r="D55" s="7">
        <v>150</v>
      </c>
      <c r="E55" s="32" t="str">
        <f t="shared" si="0"/>
        <v>10%</v>
      </c>
      <c r="G55" s="12">
        <f t="shared" si="11"/>
        <v>52</v>
      </c>
      <c r="H55" s="11" t="s">
        <v>158</v>
      </c>
      <c r="I55" s="11" t="s">
        <v>343</v>
      </c>
      <c r="J55" s="13" t="s">
        <v>530</v>
      </c>
      <c r="L55" s="21">
        <v>52</v>
      </c>
      <c r="M55" s="22">
        <v>44927</v>
      </c>
      <c r="N55" s="23"/>
      <c r="O55" s="23">
        <f t="shared" ca="1" si="1"/>
        <v>8</v>
      </c>
      <c r="P55" s="23">
        <f t="shared" ca="1" si="2"/>
        <v>178</v>
      </c>
      <c r="Q55" s="23">
        <f t="shared" ca="1" si="3"/>
        <v>132</v>
      </c>
      <c r="R55" s="23">
        <f t="shared" ca="1" si="4"/>
        <v>6</v>
      </c>
      <c r="S55" s="23" t="str">
        <f t="shared" ca="1" si="5"/>
        <v>78/FV, Verbena Lane, Junagadh, 362001</v>
      </c>
      <c r="T55" s="23">
        <f t="shared" ca="1" si="6"/>
        <v>200</v>
      </c>
      <c r="U55" s="33" t="str">
        <f t="shared" ca="1" si="7"/>
        <v>20%</v>
      </c>
      <c r="V55" s="29">
        <f t="shared" ca="1" si="8"/>
        <v>1200</v>
      </c>
      <c r="W55" s="29">
        <f t="shared" ca="1" si="9"/>
        <v>960</v>
      </c>
      <c r="X55" s="23" t="s">
        <v>713</v>
      </c>
      <c r="Y55" s="40">
        <v>0.36875000000000002</v>
      </c>
      <c r="Z55" s="23"/>
      <c r="AA55" s="23"/>
      <c r="AB55" s="23"/>
      <c r="AC55" s="24"/>
    </row>
    <row r="56" spans="2:29" ht="16" x14ac:dyDescent="0.35">
      <c r="B56" s="5">
        <f t="shared" si="10"/>
        <v>53</v>
      </c>
      <c r="C56" s="6" t="s">
        <v>56</v>
      </c>
      <c r="D56" s="7">
        <v>180</v>
      </c>
      <c r="E56" s="32" t="str">
        <f t="shared" si="0"/>
        <v>10%</v>
      </c>
      <c r="G56" s="12">
        <f t="shared" si="11"/>
        <v>53</v>
      </c>
      <c r="H56" s="11" t="s">
        <v>159</v>
      </c>
      <c r="I56" s="11" t="s">
        <v>344</v>
      </c>
      <c r="J56" s="13" t="s">
        <v>531</v>
      </c>
      <c r="L56" s="21">
        <v>53</v>
      </c>
      <c r="M56" s="22">
        <v>44927</v>
      </c>
      <c r="N56" s="23"/>
      <c r="O56" s="23">
        <f t="shared" ca="1" si="1"/>
        <v>92</v>
      </c>
      <c r="P56" s="23">
        <f t="shared" ca="1" si="2"/>
        <v>127</v>
      </c>
      <c r="Q56" s="23">
        <f t="shared" ca="1" si="3"/>
        <v>110</v>
      </c>
      <c r="R56" s="23">
        <f t="shared" ca="1" si="4"/>
        <v>2</v>
      </c>
      <c r="S56" s="23" t="str">
        <f t="shared" ca="1" si="5"/>
        <v>34/DW, Water Lily Street, Bhiwandi, 421302</v>
      </c>
      <c r="T56" s="23">
        <f t="shared" ca="1" si="6"/>
        <v>110</v>
      </c>
      <c r="U56" s="33" t="str">
        <f t="shared" ca="1" si="7"/>
        <v>5%</v>
      </c>
      <c r="V56" s="29">
        <f t="shared" ca="1" si="8"/>
        <v>220</v>
      </c>
      <c r="W56" s="29">
        <f t="shared" ca="1" si="9"/>
        <v>209</v>
      </c>
      <c r="X56" s="23" t="s">
        <v>713</v>
      </c>
      <c r="Y56" s="40">
        <v>0.36944444444444446</v>
      </c>
      <c r="Z56" s="23"/>
      <c r="AA56" s="23"/>
      <c r="AB56" s="23"/>
      <c r="AC56" s="24"/>
    </row>
    <row r="57" spans="2:29" ht="16" x14ac:dyDescent="0.35">
      <c r="B57" s="5">
        <f t="shared" si="10"/>
        <v>54</v>
      </c>
      <c r="C57" s="6" t="s">
        <v>57</v>
      </c>
      <c r="D57" s="7">
        <v>200</v>
      </c>
      <c r="E57" s="32" t="str">
        <f t="shared" si="0"/>
        <v>20%</v>
      </c>
      <c r="G57" s="12">
        <f t="shared" si="11"/>
        <v>54</v>
      </c>
      <c r="H57" s="11" t="s">
        <v>160</v>
      </c>
      <c r="I57" s="11" t="s">
        <v>345</v>
      </c>
      <c r="J57" s="13" t="s">
        <v>532</v>
      </c>
      <c r="L57" s="21">
        <v>54</v>
      </c>
      <c r="M57" s="22">
        <v>44927</v>
      </c>
      <c r="N57" s="23"/>
      <c r="O57" s="23">
        <f t="shared" ca="1" si="1"/>
        <v>34</v>
      </c>
      <c r="P57" s="23">
        <f t="shared" ca="1" si="2"/>
        <v>67</v>
      </c>
      <c r="Q57" s="23">
        <f t="shared" ca="1" si="3"/>
        <v>120</v>
      </c>
      <c r="R57" s="23">
        <f t="shared" ca="1" si="4"/>
        <v>6</v>
      </c>
      <c r="S57" s="23" t="str">
        <f t="shared" ca="1" si="5"/>
        <v>45/BO, Orchid Street, Vatakara, 673101</v>
      </c>
      <c r="T57" s="23">
        <f t="shared" ca="1" si="6"/>
        <v>260</v>
      </c>
      <c r="U57" s="33" t="str">
        <f t="shared" ca="1" si="7"/>
        <v>20%</v>
      </c>
      <c r="V57" s="29">
        <f t="shared" ca="1" si="8"/>
        <v>1560</v>
      </c>
      <c r="W57" s="29">
        <f t="shared" ca="1" si="9"/>
        <v>1248</v>
      </c>
      <c r="X57" s="23" t="s">
        <v>713</v>
      </c>
      <c r="Y57" s="40">
        <v>0.37013888888888891</v>
      </c>
      <c r="Z57" s="23"/>
      <c r="AA57" s="23"/>
      <c r="AB57" s="23"/>
      <c r="AC57" s="24"/>
    </row>
    <row r="58" spans="2:29" ht="16" x14ac:dyDescent="0.35">
      <c r="B58" s="5">
        <f t="shared" si="10"/>
        <v>55</v>
      </c>
      <c r="C58" s="6" t="s">
        <v>58</v>
      </c>
      <c r="D58" s="7">
        <v>140</v>
      </c>
      <c r="E58" s="32" t="str">
        <f t="shared" si="0"/>
        <v>5%</v>
      </c>
      <c r="G58" s="12">
        <f t="shared" si="11"/>
        <v>55</v>
      </c>
      <c r="H58" s="11" t="s">
        <v>161</v>
      </c>
      <c r="I58" s="11" t="s">
        <v>346</v>
      </c>
      <c r="J58" s="13" t="s">
        <v>533</v>
      </c>
      <c r="L58" s="21">
        <v>55</v>
      </c>
      <c r="M58" s="22">
        <v>44927</v>
      </c>
      <c r="N58" s="23"/>
      <c r="O58" s="23">
        <f t="shared" ca="1" si="1"/>
        <v>63</v>
      </c>
      <c r="P58" s="23">
        <f t="shared" ca="1" si="2"/>
        <v>166</v>
      </c>
      <c r="Q58" s="23">
        <f t="shared" ca="1" si="3"/>
        <v>151</v>
      </c>
      <c r="R58" s="23">
        <f t="shared" ca="1" si="4"/>
        <v>7</v>
      </c>
      <c r="S58" s="23" t="str">
        <f t="shared" ca="1" si="5"/>
        <v>67/FJ, Jasmine Avenue, Imphal, 795001</v>
      </c>
      <c r="T58" s="23">
        <f t="shared" ca="1" si="6"/>
        <v>100</v>
      </c>
      <c r="U58" s="33" t="str">
        <f t="shared" ca="1" si="7"/>
        <v>5%</v>
      </c>
      <c r="V58" s="29">
        <f t="shared" ca="1" si="8"/>
        <v>700</v>
      </c>
      <c r="W58" s="29">
        <f t="shared" ca="1" si="9"/>
        <v>665</v>
      </c>
      <c r="X58" s="23" t="s">
        <v>714</v>
      </c>
      <c r="Y58" s="40">
        <v>0.37083333333333335</v>
      </c>
      <c r="Z58" s="23"/>
      <c r="AA58" s="23"/>
      <c r="AB58" s="23"/>
      <c r="AC58" s="24"/>
    </row>
    <row r="59" spans="2:29" ht="16" x14ac:dyDescent="0.35">
      <c r="B59" s="5">
        <f t="shared" si="10"/>
        <v>56</v>
      </c>
      <c r="C59" s="6" t="s">
        <v>59</v>
      </c>
      <c r="D59" s="7">
        <v>180</v>
      </c>
      <c r="E59" s="32" t="str">
        <f t="shared" si="0"/>
        <v>10%</v>
      </c>
      <c r="G59" s="12">
        <f t="shared" si="11"/>
        <v>56</v>
      </c>
      <c r="H59" s="11" t="s">
        <v>162</v>
      </c>
      <c r="I59" s="11" t="s">
        <v>347</v>
      </c>
      <c r="J59" s="13" t="s">
        <v>534</v>
      </c>
      <c r="L59" s="21">
        <v>56</v>
      </c>
      <c r="M59" s="22">
        <v>44927</v>
      </c>
      <c r="N59" s="23"/>
      <c r="O59" s="23">
        <f t="shared" ca="1" si="1"/>
        <v>73</v>
      </c>
      <c r="P59" s="23">
        <f t="shared" ca="1" si="2"/>
        <v>164</v>
      </c>
      <c r="Q59" s="23">
        <f t="shared" ca="1" si="3"/>
        <v>109</v>
      </c>
      <c r="R59" s="23">
        <f t="shared" ca="1" si="4"/>
        <v>7</v>
      </c>
      <c r="S59" s="23" t="str">
        <f t="shared" ca="1" si="5"/>
        <v>56/FH, Hibiscus Street, Haldia, 721602</v>
      </c>
      <c r="T59" s="23">
        <f t="shared" ca="1" si="6"/>
        <v>80</v>
      </c>
      <c r="U59" s="33" t="str">
        <f t="shared" ca="1" si="7"/>
        <v>0</v>
      </c>
      <c r="V59" s="29">
        <f t="shared" ca="1" si="8"/>
        <v>560</v>
      </c>
      <c r="W59" s="29">
        <f t="shared" ca="1" si="9"/>
        <v>560</v>
      </c>
      <c r="X59" s="23" t="s">
        <v>714</v>
      </c>
      <c r="Y59" s="40">
        <v>0.37152777777777779</v>
      </c>
      <c r="Z59" s="23"/>
      <c r="AA59" s="23"/>
      <c r="AB59" s="23"/>
      <c r="AC59" s="24"/>
    </row>
    <row r="60" spans="2:29" ht="16" x14ac:dyDescent="0.35">
      <c r="B60" s="5">
        <f t="shared" si="10"/>
        <v>57</v>
      </c>
      <c r="C60" s="6" t="s">
        <v>60</v>
      </c>
      <c r="D60" s="7">
        <v>200</v>
      </c>
      <c r="E60" s="32" t="str">
        <f t="shared" si="0"/>
        <v>20%</v>
      </c>
      <c r="G60" s="12">
        <f t="shared" si="11"/>
        <v>57</v>
      </c>
      <c r="H60" s="11" t="s">
        <v>163</v>
      </c>
      <c r="I60" s="11" t="s">
        <v>348</v>
      </c>
      <c r="J60" s="13" t="s">
        <v>535</v>
      </c>
      <c r="L60" s="21">
        <v>57</v>
      </c>
      <c r="M60" s="22">
        <v>44927</v>
      </c>
      <c r="N60" s="23"/>
      <c r="O60" s="23">
        <f t="shared" ca="1" si="1"/>
        <v>59</v>
      </c>
      <c r="P60" s="23">
        <f t="shared" ca="1" si="2"/>
        <v>7</v>
      </c>
      <c r="Q60" s="23">
        <f t="shared" ca="1" si="3"/>
        <v>122</v>
      </c>
      <c r="R60" s="23">
        <f t="shared" ca="1" si="4"/>
        <v>1</v>
      </c>
      <c r="S60" s="23" t="str">
        <f t="shared" ca="1" si="5"/>
        <v>34/G, Orchid Avenue, Pune, 411001</v>
      </c>
      <c r="T60" s="23">
        <f t="shared" ca="1" si="6"/>
        <v>150</v>
      </c>
      <c r="U60" s="33" t="str">
        <f t="shared" ca="1" si="7"/>
        <v>10%</v>
      </c>
      <c r="V60" s="29">
        <f t="shared" ca="1" si="8"/>
        <v>150</v>
      </c>
      <c r="W60" s="29">
        <f t="shared" ca="1" si="9"/>
        <v>135</v>
      </c>
      <c r="X60" s="23" t="s">
        <v>714</v>
      </c>
      <c r="Y60" s="40">
        <v>0.37222222222222223</v>
      </c>
      <c r="Z60" s="23"/>
      <c r="AA60" s="23"/>
      <c r="AB60" s="23"/>
      <c r="AC60" s="24"/>
    </row>
    <row r="61" spans="2:29" ht="16" x14ac:dyDescent="0.35">
      <c r="B61" s="5">
        <f t="shared" si="10"/>
        <v>58</v>
      </c>
      <c r="C61" s="6" t="s">
        <v>61</v>
      </c>
      <c r="D61" s="7">
        <v>160</v>
      </c>
      <c r="E61" s="32" t="str">
        <f t="shared" si="0"/>
        <v>10%</v>
      </c>
      <c r="G61" s="12">
        <f t="shared" si="11"/>
        <v>58</v>
      </c>
      <c r="H61" s="11" t="s">
        <v>164</v>
      </c>
      <c r="I61" s="11" t="s">
        <v>349</v>
      </c>
      <c r="J61" s="13" t="s">
        <v>536</v>
      </c>
      <c r="L61" s="21">
        <v>58</v>
      </c>
      <c r="M61" s="22">
        <v>44927</v>
      </c>
      <c r="N61" s="23"/>
      <c r="O61" s="23">
        <f t="shared" ca="1" si="1"/>
        <v>65</v>
      </c>
      <c r="P61" s="23">
        <f t="shared" ca="1" si="2"/>
        <v>49</v>
      </c>
      <c r="Q61" s="23">
        <f t="shared" ca="1" si="3"/>
        <v>127</v>
      </c>
      <c r="R61" s="23">
        <f t="shared" ca="1" si="4"/>
        <v>1</v>
      </c>
      <c r="S61" s="23" t="str">
        <f t="shared" ca="1" si="5"/>
        <v>89/AW, Water Lily Avenue, Bareilly, 243001</v>
      </c>
      <c r="T61" s="23">
        <f t="shared" ca="1" si="6"/>
        <v>100</v>
      </c>
      <c r="U61" s="33" t="str">
        <f t="shared" ca="1" si="7"/>
        <v>5%</v>
      </c>
      <c r="V61" s="29">
        <f t="shared" ca="1" si="8"/>
        <v>100</v>
      </c>
      <c r="W61" s="29">
        <f t="shared" ca="1" si="9"/>
        <v>95</v>
      </c>
      <c r="X61" s="23" t="s">
        <v>714</v>
      </c>
      <c r="Y61" s="40">
        <v>0.37291666666666667</v>
      </c>
      <c r="Z61" s="23"/>
      <c r="AA61" s="23"/>
      <c r="AB61" s="23"/>
      <c r="AC61" s="24"/>
    </row>
    <row r="62" spans="2:29" ht="16" x14ac:dyDescent="0.35">
      <c r="B62" s="5">
        <f t="shared" si="10"/>
        <v>59</v>
      </c>
      <c r="C62" s="6" t="s">
        <v>62</v>
      </c>
      <c r="D62" s="7">
        <v>150</v>
      </c>
      <c r="E62" s="32" t="str">
        <f t="shared" si="0"/>
        <v>10%</v>
      </c>
      <c r="G62" s="12">
        <f t="shared" si="11"/>
        <v>59</v>
      </c>
      <c r="H62" s="11" t="s">
        <v>165</v>
      </c>
      <c r="I62" s="11" t="s">
        <v>350</v>
      </c>
      <c r="J62" s="13" t="s">
        <v>537</v>
      </c>
      <c r="L62" s="21">
        <v>59</v>
      </c>
      <c r="M62" s="22">
        <v>44927</v>
      </c>
      <c r="N62" s="23"/>
      <c r="O62" s="23">
        <f t="shared" ca="1" si="1"/>
        <v>92</v>
      </c>
      <c r="P62" s="23">
        <f t="shared" ca="1" si="2"/>
        <v>168</v>
      </c>
      <c r="Q62" s="23">
        <f t="shared" ca="1" si="3"/>
        <v>118</v>
      </c>
      <c r="R62" s="23">
        <f t="shared" ca="1" si="4"/>
        <v>6</v>
      </c>
      <c r="S62" s="23" t="str">
        <f t="shared" ca="1" si="5"/>
        <v>78/FL, Lily Road, Jagdalpur, 494001</v>
      </c>
      <c r="T62" s="23">
        <f t="shared" ca="1" si="6"/>
        <v>110</v>
      </c>
      <c r="U62" s="33" t="str">
        <f t="shared" ca="1" si="7"/>
        <v>5%</v>
      </c>
      <c r="V62" s="29">
        <f t="shared" ca="1" si="8"/>
        <v>660</v>
      </c>
      <c r="W62" s="29">
        <f t="shared" ca="1" si="9"/>
        <v>627</v>
      </c>
      <c r="X62" s="23" t="s">
        <v>714</v>
      </c>
      <c r="Y62" s="40">
        <v>0.37361111111111112</v>
      </c>
      <c r="Z62" s="23"/>
      <c r="AA62" s="23"/>
      <c r="AB62" s="23"/>
      <c r="AC62" s="24"/>
    </row>
    <row r="63" spans="2:29" ht="16" x14ac:dyDescent="0.35">
      <c r="B63" s="5">
        <f t="shared" si="10"/>
        <v>60</v>
      </c>
      <c r="C63" s="6" t="s">
        <v>63</v>
      </c>
      <c r="D63" s="7">
        <v>120</v>
      </c>
      <c r="E63" s="32" t="str">
        <f t="shared" si="0"/>
        <v>5%</v>
      </c>
      <c r="G63" s="12">
        <f t="shared" si="11"/>
        <v>60</v>
      </c>
      <c r="H63" s="11" t="s">
        <v>166</v>
      </c>
      <c r="I63" s="11" t="s">
        <v>351</v>
      </c>
      <c r="J63" s="13" t="s">
        <v>538</v>
      </c>
      <c r="L63" s="21">
        <v>60</v>
      </c>
      <c r="M63" s="22">
        <v>44927</v>
      </c>
      <c r="N63" s="23"/>
      <c r="O63" s="23">
        <f t="shared" ca="1" si="1"/>
        <v>69</v>
      </c>
      <c r="P63" s="23">
        <f t="shared" ca="1" si="2"/>
        <v>134</v>
      </c>
      <c r="Q63" s="23">
        <f t="shared" ca="1" si="3"/>
        <v>126</v>
      </c>
      <c r="R63" s="23">
        <f t="shared" ca="1" si="4"/>
        <v>6</v>
      </c>
      <c r="S63" s="23" t="str">
        <f t="shared" ca="1" si="5"/>
        <v>67/ED, Dahlia Road, Chhindwara, 480001</v>
      </c>
      <c r="T63" s="23">
        <f t="shared" ca="1" si="6"/>
        <v>100</v>
      </c>
      <c r="U63" s="33" t="str">
        <f t="shared" ca="1" si="7"/>
        <v>5%</v>
      </c>
      <c r="V63" s="29">
        <f t="shared" ca="1" si="8"/>
        <v>600</v>
      </c>
      <c r="W63" s="29">
        <f t="shared" ca="1" si="9"/>
        <v>570</v>
      </c>
      <c r="X63" s="23" t="s">
        <v>714</v>
      </c>
      <c r="Y63" s="40">
        <v>0.37430555555555556</v>
      </c>
      <c r="Z63" s="23"/>
      <c r="AA63" s="23"/>
      <c r="AB63" s="23"/>
      <c r="AC63" s="24"/>
    </row>
    <row r="64" spans="2:29" ht="16" x14ac:dyDescent="0.35">
      <c r="B64" s="5">
        <f t="shared" si="10"/>
        <v>61</v>
      </c>
      <c r="C64" s="6" t="s">
        <v>64</v>
      </c>
      <c r="D64" s="7">
        <v>80</v>
      </c>
      <c r="E64" s="32" t="str">
        <f t="shared" si="0"/>
        <v>0</v>
      </c>
      <c r="G64" s="12">
        <f t="shared" si="11"/>
        <v>61</v>
      </c>
      <c r="H64" s="11" t="s">
        <v>167</v>
      </c>
      <c r="I64" s="11" t="s">
        <v>352</v>
      </c>
      <c r="J64" s="13" t="s">
        <v>539</v>
      </c>
      <c r="L64" s="21">
        <v>61</v>
      </c>
      <c r="M64" s="22">
        <v>44927</v>
      </c>
      <c r="N64" s="23"/>
      <c r="O64" s="23">
        <f t="shared" ca="1" si="1"/>
        <v>86</v>
      </c>
      <c r="P64" s="23">
        <f t="shared" ca="1" si="2"/>
        <v>132</v>
      </c>
      <c r="Q64" s="23">
        <f t="shared" ca="1" si="3"/>
        <v>133</v>
      </c>
      <c r="R64" s="23">
        <f t="shared" ca="1" si="4"/>
        <v>1</v>
      </c>
      <c r="S64" s="23" t="str">
        <f t="shared" ca="1" si="5"/>
        <v>56/EB, Bluebell Lane, Chandannagar, 712136</v>
      </c>
      <c r="T64" s="23">
        <f t="shared" ca="1" si="6"/>
        <v>40</v>
      </c>
      <c r="U64" s="33" t="str">
        <f t="shared" ca="1" si="7"/>
        <v>0</v>
      </c>
      <c r="V64" s="29">
        <f t="shared" ca="1" si="8"/>
        <v>40</v>
      </c>
      <c r="W64" s="29">
        <f t="shared" ca="1" si="9"/>
        <v>40</v>
      </c>
      <c r="X64" s="23" t="s">
        <v>714</v>
      </c>
      <c r="Y64" s="40">
        <v>0.375</v>
      </c>
      <c r="Z64" s="23"/>
      <c r="AA64" s="23"/>
      <c r="AB64" s="23"/>
      <c r="AC64" s="24"/>
    </row>
    <row r="65" spans="2:29" ht="16" x14ac:dyDescent="0.35">
      <c r="B65" s="5">
        <f t="shared" si="10"/>
        <v>62</v>
      </c>
      <c r="C65" s="6" t="s">
        <v>65</v>
      </c>
      <c r="D65" s="7">
        <v>80</v>
      </c>
      <c r="E65" s="32" t="str">
        <f t="shared" si="0"/>
        <v>0</v>
      </c>
      <c r="G65" s="12">
        <f t="shared" si="11"/>
        <v>62</v>
      </c>
      <c r="H65" s="11" t="s">
        <v>168</v>
      </c>
      <c r="I65" s="11" t="s">
        <v>353</v>
      </c>
      <c r="J65" s="13" t="s">
        <v>540</v>
      </c>
      <c r="L65" s="21">
        <v>62</v>
      </c>
      <c r="M65" s="22">
        <v>44927</v>
      </c>
      <c r="N65" s="23"/>
      <c r="O65" s="23">
        <f t="shared" ca="1" si="1"/>
        <v>35</v>
      </c>
      <c r="P65" s="23">
        <f t="shared" ca="1" si="2"/>
        <v>123</v>
      </c>
      <c r="Q65" s="23">
        <f t="shared" ca="1" si="3"/>
        <v>169</v>
      </c>
      <c r="R65" s="23">
        <f t="shared" ca="1" si="4"/>
        <v>10</v>
      </c>
      <c r="S65" s="23" t="str">
        <f t="shared" ca="1" si="5"/>
        <v>45/DS, Sunflower Street, Begusarai, 851101</v>
      </c>
      <c r="T65" s="23">
        <f t="shared" ca="1" si="6"/>
        <v>240</v>
      </c>
      <c r="U65" s="33" t="str">
        <f t="shared" ca="1" si="7"/>
        <v>20%</v>
      </c>
      <c r="V65" s="29">
        <f t="shared" ca="1" si="8"/>
        <v>2400</v>
      </c>
      <c r="W65" s="29">
        <f t="shared" ca="1" si="9"/>
        <v>1920</v>
      </c>
      <c r="X65" s="23" t="s">
        <v>714</v>
      </c>
      <c r="Y65" s="40">
        <v>0.37569444444444444</v>
      </c>
      <c r="Z65" s="23"/>
      <c r="AA65" s="23"/>
      <c r="AB65" s="23"/>
      <c r="AC65" s="24"/>
    </row>
    <row r="66" spans="2:29" ht="16" x14ac:dyDescent="0.35">
      <c r="B66" s="5">
        <f t="shared" si="10"/>
        <v>63</v>
      </c>
      <c r="C66" s="6" t="s">
        <v>66</v>
      </c>
      <c r="D66" s="7">
        <v>100</v>
      </c>
      <c r="E66" s="32" t="str">
        <f t="shared" si="0"/>
        <v>5%</v>
      </c>
      <c r="G66" s="12">
        <f t="shared" si="11"/>
        <v>63</v>
      </c>
      <c r="H66" s="11" t="s">
        <v>169</v>
      </c>
      <c r="I66" s="11" t="s">
        <v>354</v>
      </c>
      <c r="J66" s="13" t="s">
        <v>541</v>
      </c>
      <c r="L66" s="21">
        <v>63</v>
      </c>
      <c r="M66" s="22">
        <v>44927</v>
      </c>
      <c r="N66" s="23"/>
      <c r="O66" s="23">
        <f t="shared" ca="1" si="1"/>
        <v>72</v>
      </c>
      <c r="P66" s="23">
        <f t="shared" ca="1" si="2"/>
        <v>185</v>
      </c>
      <c r="Q66" s="23">
        <f t="shared" ca="1" si="3"/>
        <v>143</v>
      </c>
      <c r="R66" s="23">
        <f t="shared" ca="1" si="4"/>
        <v>1</v>
      </c>
      <c r="S66" s="23" t="str">
        <f t="shared" ca="1" si="5"/>
        <v>89/GC, Camellia Road, Kishanganj, 855107</v>
      </c>
      <c r="T66" s="23">
        <f t="shared" ca="1" si="6"/>
        <v>80</v>
      </c>
      <c r="U66" s="33" t="str">
        <f t="shared" ca="1" si="7"/>
        <v>0</v>
      </c>
      <c r="V66" s="29">
        <f t="shared" ca="1" si="8"/>
        <v>80</v>
      </c>
      <c r="W66" s="29">
        <f t="shared" ca="1" si="9"/>
        <v>80</v>
      </c>
      <c r="X66" s="23" t="s">
        <v>714</v>
      </c>
      <c r="Y66" s="40">
        <v>0.37638888888888888</v>
      </c>
      <c r="Z66" s="23"/>
      <c r="AA66" s="23"/>
      <c r="AB66" s="23"/>
      <c r="AC66" s="24"/>
    </row>
    <row r="67" spans="2:29" ht="16" x14ac:dyDescent="0.35">
      <c r="B67" s="5">
        <f t="shared" si="10"/>
        <v>64</v>
      </c>
      <c r="C67" s="6" t="s">
        <v>67</v>
      </c>
      <c r="D67" s="7">
        <v>120</v>
      </c>
      <c r="E67" s="32" t="str">
        <f t="shared" si="0"/>
        <v>5%</v>
      </c>
      <c r="G67" s="12">
        <f t="shared" si="11"/>
        <v>64</v>
      </c>
      <c r="H67" s="11" t="s">
        <v>170</v>
      </c>
      <c r="I67" s="11" t="s">
        <v>355</v>
      </c>
      <c r="J67" s="13" t="s">
        <v>542</v>
      </c>
      <c r="L67" s="21">
        <v>64</v>
      </c>
      <c r="M67" s="22">
        <v>44927</v>
      </c>
      <c r="N67" s="23"/>
      <c r="O67" s="23">
        <f t="shared" ca="1" si="1"/>
        <v>91</v>
      </c>
      <c r="P67" s="23">
        <f t="shared" ca="1" si="2"/>
        <v>6</v>
      </c>
      <c r="Q67" s="23">
        <f t="shared" ca="1" si="3"/>
        <v>154</v>
      </c>
      <c r="R67" s="23">
        <f t="shared" ca="1" si="4"/>
        <v>1</v>
      </c>
      <c r="S67" s="23" t="str">
        <f t="shared" ca="1" si="5"/>
        <v>67/F, Tulip Lane, Chennai, 600001</v>
      </c>
      <c r="T67" s="23">
        <f t="shared" ca="1" si="6"/>
        <v>100</v>
      </c>
      <c r="U67" s="33" t="str">
        <f t="shared" ca="1" si="7"/>
        <v>5%</v>
      </c>
      <c r="V67" s="29">
        <f t="shared" ca="1" si="8"/>
        <v>100</v>
      </c>
      <c r="W67" s="29">
        <f t="shared" ca="1" si="9"/>
        <v>95</v>
      </c>
      <c r="X67" s="23" t="s">
        <v>714</v>
      </c>
      <c r="Y67" s="40">
        <v>0.37708333333333333</v>
      </c>
      <c r="Z67" s="23"/>
      <c r="AA67" s="23"/>
      <c r="AB67" s="23"/>
      <c r="AC67" s="24"/>
    </row>
    <row r="68" spans="2:29" ht="16" x14ac:dyDescent="0.35">
      <c r="B68" s="5">
        <f t="shared" si="10"/>
        <v>65</v>
      </c>
      <c r="C68" s="6" t="s">
        <v>68</v>
      </c>
      <c r="D68" s="7">
        <v>100</v>
      </c>
      <c r="E68" s="32" t="str">
        <f t="shared" si="0"/>
        <v>5%</v>
      </c>
      <c r="G68" s="12">
        <f t="shared" si="11"/>
        <v>65</v>
      </c>
      <c r="H68" s="11" t="s">
        <v>171</v>
      </c>
      <c r="I68" s="11" t="s">
        <v>356</v>
      </c>
      <c r="J68" s="13" t="s">
        <v>543</v>
      </c>
      <c r="L68" s="21">
        <v>65</v>
      </c>
      <c r="M68" s="22">
        <v>44927</v>
      </c>
      <c r="N68" s="23"/>
      <c r="O68" s="23">
        <f t="shared" ca="1" si="1"/>
        <v>58</v>
      </c>
      <c r="P68" s="23">
        <f t="shared" ca="1" si="2"/>
        <v>177</v>
      </c>
      <c r="Q68" s="23">
        <f t="shared" ca="1" si="3"/>
        <v>123</v>
      </c>
      <c r="R68" s="23">
        <f t="shared" ca="1" si="4"/>
        <v>9</v>
      </c>
      <c r="S68" s="23" t="str">
        <f t="shared" ca="1" si="5"/>
        <v>89/FU, Utopia Street, Jodhpur, 342001</v>
      </c>
      <c r="T68" s="23">
        <f t="shared" ca="1" si="6"/>
        <v>160</v>
      </c>
      <c r="U68" s="33" t="str">
        <f t="shared" ca="1" si="7"/>
        <v>10%</v>
      </c>
      <c r="V68" s="29">
        <f t="shared" ca="1" si="8"/>
        <v>1440</v>
      </c>
      <c r="W68" s="29">
        <f t="shared" ca="1" si="9"/>
        <v>1296</v>
      </c>
      <c r="X68" s="23" t="s">
        <v>714</v>
      </c>
      <c r="Y68" s="40">
        <v>0.37777777777777777</v>
      </c>
      <c r="Z68" s="23"/>
      <c r="AA68" s="23"/>
      <c r="AB68" s="23"/>
      <c r="AC68" s="24"/>
    </row>
    <row r="69" spans="2:29" ht="16" x14ac:dyDescent="0.35">
      <c r="B69" s="5">
        <f t="shared" si="10"/>
        <v>66</v>
      </c>
      <c r="C69" s="6" t="s">
        <v>69</v>
      </c>
      <c r="D69" s="7">
        <v>80</v>
      </c>
      <c r="E69" s="32" t="str">
        <f t="shared" ref="E69:E106" si="12">IF($D69&gt;=200,"20%",IF($D69&gt;=150,"10%",IF($D69&gt;=100,"5%",IF($D69&lt;=100,"0"))))</f>
        <v>0</v>
      </c>
      <c r="G69" s="12">
        <f t="shared" si="11"/>
        <v>66</v>
      </c>
      <c r="H69" s="11" t="s">
        <v>172</v>
      </c>
      <c r="I69" s="11" t="s">
        <v>357</v>
      </c>
      <c r="J69" s="13" t="s">
        <v>544</v>
      </c>
      <c r="L69" s="21">
        <v>66</v>
      </c>
      <c r="M69" s="22">
        <v>44927</v>
      </c>
      <c r="N69" s="23"/>
      <c r="O69" s="23">
        <f t="shared" ref="O69:O132" ca="1" si="13">RANDBETWEEN(1,100)</f>
        <v>13</v>
      </c>
      <c r="P69" s="23">
        <f t="shared" ref="P69:P132" ca="1" si="14">RANDBETWEEN(1,187)</f>
        <v>155</v>
      </c>
      <c r="Q69" s="23">
        <f t="shared" ref="Q69:Q132" ca="1" si="15">RANDBETWEEN(100,170)</f>
        <v>109</v>
      </c>
      <c r="R69" s="23">
        <f t="shared" ref="R69:R132" ca="1" si="16">RANDBETWEEN(1,10)</f>
        <v>10</v>
      </c>
      <c r="S69" s="23" t="str">
        <f t="shared" ref="S69:S132" ca="1" si="17">VLOOKUP($P69,$G$3:$J$190,4,0)</f>
        <v>45/EY, Yarrow Lane, Guntur, 522001</v>
      </c>
      <c r="T69" s="23">
        <f t="shared" ref="T69:T132" ca="1" si="18">VLOOKUP($O69,$B$3:$E$106,3,0)</f>
        <v>200</v>
      </c>
      <c r="U69" s="33" t="str">
        <f t="shared" ref="U69:U132" ca="1" si="19">VLOOKUP($O69,$B$3:$E$106,4,0)</f>
        <v>20%</v>
      </c>
      <c r="V69" s="29">
        <f t="shared" ref="V69:V132" ca="1" si="20">$R69*$T69</f>
        <v>2000</v>
      </c>
      <c r="W69" s="29">
        <f t="shared" ref="W69:W132" ca="1" si="21">V69-(V69*U69)</f>
        <v>1600</v>
      </c>
      <c r="X69" s="23" t="s">
        <v>714</v>
      </c>
      <c r="Y69" s="40">
        <v>0.37847222222222221</v>
      </c>
      <c r="Z69" s="23"/>
      <c r="AA69" s="23"/>
      <c r="AB69" s="23"/>
      <c r="AC69" s="24"/>
    </row>
    <row r="70" spans="2:29" ht="16" x14ac:dyDescent="0.35">
      <c r="B70" s="5">
        <f t="shared" ref="B70:B106" si="22">B69+1</f>
        <v>67</v>
      </c>
      <c r="C70" s="6" t="s">
        <v>70</v>
      </c>
      <c r="D70" s="7">
        <v>100</v>
      </c>
      <c r="E70" s="32" t="str">
        <f t="shared" si="12"/>
        <v>5%</v>
      </c>
      <c r="G70" s="12">
        <f t="shared" ref="G70:G133" si="23">G69+1</f>
        <v>67</v>
      </c>
      <c r="H70" s="11" t="s">
        <v>173</v>
      </c>
      <c r="I70" s="11" t="s">
        <v>358</v>
      </c>
      <c r="J70" s="13" t="s">
        <v>545</v>
      </c>
      <c r="L70" s="21">
        <v>67</v>
      </c>
      <c r="M70" s="22">
        <v>44927</v>
      </c>
      <c r="N70" s="23"/>
      <c r="O70" s="23">
        <f t="shared" ca="1" si="13"/>
        <v>59</v>
      </c>
      <c r="P70" s="23">
        <f t="shared" ca="1" si="14"/>
        <v>168</v>
      </c>
      <c r="Q70" s="23">
        <f t="shared" ca="1" si="15"/>
        <v>170</v>
      </c>
      <c r="R70" s="23">
        <f t="shared" ca="1" si="16"/>
        <v>9</v>
      </c>
      <c r="S70" s="23" t="str">
        <f t="shared" ca="1" si="17"/>
        <v>78/FL, Lily Road, Jagdalpur, 494001</v>
      </c>
      <c r="T70" s="23">
        <f t="shared" ca="1" si="18"/>
        <v>150</v>
      </c>
      <c r="U70" s="33" t="str">
        <f t="shared" ca="1" si="19"/>
        <v>10%</v>
      </c>
      <c r="V70" s="29">
        <f t="shared" ca="1" si="20"/>
        <v>1350</v>
      </c>
      <c r="W70" s="29">
        <f t="shared" ca="1" si="21"/>
        <v>1215</v>
      </c>
      <c r="X70" s="23" t="s">
        <v>714</v>
      </c>
      <c r="Y70" s="40">
        <v>0.37916666666666665</v>
      </c>
      <c r="Z70" s="23"/>
      <c r="AA70" s="23"/>
      <c r="AB70" s="23"/>
      <c r="AC70" s="24"/>
    </row>
    <row r="71" spans="2:29" ht="16" x14ac:dyDescent="0.35">
      <c r="B71" s="5">
        <f t="shared" si="22"/>
        <v>68</v>
      </c>
      <c r="C71" s="6" t="s">
        <v>71</v>
      </c>
      <c r="D71" s="7">
        <v>120</v>
      </c>
      <c r="E71" s="32" t="str">
        <f t="shared" si="12"/>
        <v>5%</v>
      </c>
      <c r="G71" s="12">
        <f t="shared" si="23"/>
        <v>68</v>
      </c>
      <c r="H71" s="11" t="s">
        <v>174</v>
      </c>
      <c r="I71" s="11" t="s">
        <v>359</v>
      </c>
      <c r="J71" s="13" t="s">
        <v>546</v>
      </c>
      <c r="L71" s="21">
        <v>68</v>
      </c>
      <c r="M71" s="22">
        <v>44927</v>
      </c>
      <c r="N71" s="23"/>
      <c r="O71" s="23">
        <f t="shared" ca="1" si="13"/>
        <v>73</v>
      </c>
      <c r="P71" s="23">
        <f t="shared" ca="1" si="14"/>
        <v>100</v>
      </c>
      <c r="Q71" s="23">
        <f t="shared" ca="1" si="15"/>
        <v>146</v>
      </c>
      <c r="R71" s="23">
        <f t="shared" ca="1" si="16"/>
        <v>6</v>
      </c>
      <c r="S71" s="23" t="str">
        <f t="shared" ca="1" si="17"/>
        <v>56/CV, Verbena Street, Tumkur, 572101</v>
      </c>
      <c r="T71" s="23">
        <f t="shared" ca="1" si="18"/>
        <v>80</v>
      </c>
      <c r="U71" s="33" t="str">
        <f t="shared" ca="1" si="19"/>
        <v>0</v>
      </c>
      <c r="V71" s="29">
        <f t="shared" ca="1" si="20"/>
        <v>480</v>
      </c>
      <c r="W71" s="29">
        <f t="shared" ca="1" si="21"/>
        <v>480</v>
      </c>
      <c r="X71" s="23" t="s">
        <v>714</v>
      </c>
      <c r="Y71" s="40">
        <v>0.37986111111111109</v>
      </c>
      <c r="Z71" s="23"/>
      <c r="AA71" s="23"/>
      <c r="AB71" s="23"/>
      <c r="AC71" s="24"/>
    </row>
    <row r="72" spans="2:29" ht="16" x14ac:dyDescent="0.35">
      <c r="B72" s="5">
        <f t="shared" si="22"/>
        <v>69</v>
      </c>
      <c r="C72" s="6" t="s">
        <v>72</v>
      </c>
      <c r="D72" s="7">
        <v>100</v>
      </c>
      <c r="E72" s="32" t="str">
        <f t="shared" si="12"/>
        <v>5%</v>
      </c>
      <c r="G72" s="12">
        <f t="shared" si="23"/>
        <v>69</v>
      </c>
      <c r="H72" s="11" t="s">
        <v>175</v>
      </c>
      <c r="I72" s="11" t="s">
        <v>360</v>
      </c>
      <c r="J72" s="13" t="s">
        <v>547</v>
      </c>
      <c r="L72" s="21">
        <v>69</v>
      </c>
      <c r="M72" s="22">
        <v>44927</v>
      </c>
      <c r="N72" s="23"/>
      <c r="O72" s="23">
        <f t="shared" ca="1" si="13"/>
        <v>9</v>
      </c>
      <c r="P72" s="23">
        <f t="shared" ca="1" si="14"/>
        <v>184</v>
      </c>
      <c r="Q72" s="23">
        <f t="shared" ca="1" si="15"/>
        <v>146</v>
      </c>
      <c r="R72" s="23">
        <f t="shared" ca="1" si="16"/>
        <v>3</v>
      </c>
      <c r="S72" s="23" t="str">
        <f t="shared" ca="1" si="17"/>
        <v>78/GB, Bluebell Lane, Kharagpur, 721301</v>
      </c>
      <c r="T72" s="23">
        <f t="shared" ca="1" si="18"/>
        <v>150</v>
      </c>
      <c r="U72" s="33" t="str">
        <f t="shared" ca="1" si="19"/>
        <v>10%</v>
      </c>
      <c r="V72" s="29">
        <f t="shared" ca="1" si="20"/>
        <v>450</v>
      </c>
      <c r="W72" s="29">
        <f t="shared" ca="1" si="21"/>
        <v>405</v>
      </c>
      <c r="X72" s="23" t="s">
        <v>714</v>
      </c>
      <c r="Y72" s="40">
        <v>0.38055555555555554</v>
      </c>
      <c r="Z72" s="23"/>
      <c r="AA72" s="23"/>
      <c r="AB72" s="23"/>
      <c r="AC72" s="24"/>
    </row>
    <row r="73" spans="2:29" ht="16" x14ac:dyDescent="0.35">
      <c r="B73" s="5">
        <f t="shared" si="22"/>
        <v>70</v>
      </c>
      <c r="C73" s="6" t="s">
        <v>73</v>
      </c>
      <c r="D73" s="7">
        <v>100</v>
      </c>
      <c r="E73" s="32" t="str">
        <f t="shared" si="12"/>
        <v>5%</v>
      </c>
      <c r="G73" s="12">
        <f t="shared" si="23"/>
        <v>70</v>
      </c>
      <c r="H73" s="11" t="s">
        <v>176</v>
      </c>
      <c r="I73" s="11" t="s">
        <v>361</v>
      </c>
      <c r="J73" s="13" t="s">
        <v>548</v>
      </c>
      <c r="L73" s="21">
        <v>70</v>
      </c>
      <c r="M73" s="22">
        <v>44927</v>
      </c>
      <c r="N73" s="23"/>
      <c r="O73" s="23">
        <f t="shared" ca="1" si="13"/>
        <v>32</v>
      </c>
      <c r="P73" s="23">
        <f t="shared" ca="1" si="14"/>
        <v>132</v>
      </c>
      <c r="Q73" s="23">
        <f t="shared" ca="1" si="15"/>
        <v>127</v>
      </c>
      <c r="R73" s="23">
        <f t="shared" ca="1" si="16"/>
        <v>8</v>
      </c>
      <c r="S73" s="23" t="str">
        <f t="shared" ca="1" si="17"/>
        <v>56/EB, Bluebell Lane, Chandannagar, 712136</v>
      </c>
      <c r="T73" s="23">
        <f t="shared" ca="1" si="18"/>
        <v>240</v>
      </c>
      <c r="U73" s="33" t="str">
        <f t="shared" ca="1" si="19"/>
        <v>20%</v>
      </c>
      <c r="V73" s="29">
        <f t="shared" ca="1" si="20"/>
        <v>1920</v>
      </c>
      <c r="W73" s="29">
        <f t="shared" ca="1" si="21"/>
        <v>1536</v>
      </c>
      <c r="X73" s="23" t="s">
        <v>714</v>
      </c>
      <c r="Y73" s="40">
        <v>0.38124999999999998</v>
      </c>
      <c r="Z73" s="23"/>
      <c r="AA73" s="23"/>
      <c r="AB73" s="23"/>
      <c r="AC73" s="24"/>
    </row>
    <row r="74" spans="2:29" ht="16" x14ac:dyDescent="0.35">
      <c r="B74" s="5">
        <f t="shared" si="22"/>
        <v>71</v>
      </c>
      <c r="C74" s="6" t="s">
        <v>74</v>
      </c>
      <c r="D74" s="7">
        <v>80</v>
      </c>
      <c r="E74" s="32" t="str">
        <f t="shared" si="12"/>
        <v>0</v>
      </c>
      <c r="G74" s="12">
        <f t="shared" si="23"/>
        <v>71</v>
      </c>
      <c r="H74" s="11" t="s">
        <v>177</v>
      </c>
      <c r="I74" s="11" t="s">
        <v>362</v>
      </c>
      <c r="J74" s="13" t="s">
        <v>549</v>
      </c>
      <c r="L74" s="21">
        <v>71</v>
      </c>
      <c r="M74" s="22">
        <v>44927</v>
      </c>
      <c r="N74" s="23"/>
      <c r="O74" s="23">
        <f t="shared" ca="1" si="13"/>
        <v>97</v>
      </c>
      <c r="P74" s="23">
        <f t="shared" ca="1" si="14"/>
        <v>166</v>
      </c>
      <c r="Q74" s="23">
        <f t="shared" ca="1" si="15"/>
        <v>112</v>
      </c>
      <c r="R74" s="23">
        <f t="shared" ca="1" si="16"/>
        <v>3</v>
      </c>
      <c r="S74" s="23" t="str">
        <f t="shared" ca="1" si="17"/>
        <v>67/FJ, Jasmine Avenue, Imphal, 795001</v>
      </c>
      <c r="T74" s="23">
        <f t="shared" ca="1" si="18"/>
        <v>80</v>
      </c>
      <c r="U74" s="33" t="str">
        <f t="shared" ca="1" si="19"/>
        <v>0</v>
      </c>
      <c r="V74" s="29">
        <f t="shared" ca="1" si="20"/>
        <v>240</v>
      </c>
      <c r="W74" s="29">
        <f t="shared" ca="1" si="21"/>
        <v>240</v>
      </c>
      <c r="X74" s="23" t="s">
        <v>714</v>
      </c>
      <c r="Y74" s="40">
        <v>0.38194444444444442</v>
      </c>
      <c r="Z74" s="23"/>
      <c r="AA74" s="23"/>
      <c r="AB74" s="23"/>
      <c r="AC74" s="24"/>
    </row>
    <row r="75" spans="2:29" ht="16" x14ac:dyDescent="0.35">
      <c r="B75" s="5">
        <f t="shared" si="22"/>
        <v>72</v>
      </c>
      <c r="C75" s="6" t="s">
        <v>75</v>
      </c>
      <c r="D75" s="7">
        <v>80</v>
      </c>
      <c r="E75" s="32" t="str">
        <f t="shared" si="12"/>
        <v>0</v>
      </c>
      <c r="G75" s="12">
        <f t="shared" si="23"/>
        <v>72</v>
      </c>
      <c r="H75" s="11" t="s">
        <v>178</v>
      </c>
      <c r="I75" s="11" t="s">
        <v>363</v>
      </c>
      <c r="J75" s="13" t="s">
        <v>550</v>
      </c>
      <c r="L75" s="21">
        <v>72</v>
      </c>
      <c r="M75" s="22">
        <v>44927</v>
      </c>
      <c r="N75" s="23"/>
      <c r="O75" s="23">
        <f t="shared" ca="1" si="13"/>
        <v>2</v>
      </c>
      <c r="P75" s="23">
        <f t="shared" ca="1" si="14"/>
        <v>6</v>
      </c>
      <c r="Q75" s="23">
        <f t="shared" ca="1" si="15"/>
        <v>143</v>
      </c>
      <c r="R75" s="23">
        <f t="shared" ca="1" si="16"/>
        <v>5</v>
      </c>
      <c r="S75" s="23" t="str">
        <f t="shared" ca="1" si="17"/>
        <v>67/F, Tulip Lane, Chennai, 600001</v>
      </c>
      <c r="T75" s="23">
        <f t="shared" ca="1" si="18"/>
        <v>180</v>
      </c>
      <c r="U75" s="33" t="str">
        <f t="shared" ca="1" si="19"/>
        <v>10%</v>
      </c>
      <c r="V75" s="29">
        <f t="shared" ca="1" si="20"/>
        <v>900</v>
      </c>
      <c r="W75" s="29">
        <f t="shared" ca="1" si="21"/>
        <v>810</v>
      </c>
      <c r="X75" s="23" t="s">
        <v>714</v>
      </c>
      <c r="Y75" s="40">
        <v>0.38263888888888886</v>
      </c>
      <c r="Z75" s="23"/>
      <c r="AA75" s="23"/>
      <c r="AB75" s="23"/>
      <c r="AC75" s="24"/>
    </row>
    <row r="76" spans="2:29" ht="16" x14ac:dyDescent="0.35">
      <c r="B76" s="5">
        <f t="shared" si="22"/>
        <v>73</v>
      </c>
      <c r="C76" s="6" t="s">
        <v>76</v>
      </c>
      <c r="D76" s="7">
        <v>80</v>
      </c>
      <c r="E76" s="32" t="str">
        <f t="shared" si="12"/>
        <v>0</v>
      </c>
      <c r="G76" s="12">
        <f t="shared" si="23"/>
        <v>73</v>
      </c>
      <c r="H76" s="11" t="s">
        <v>179</v>
      </c>
      <c r="I76" s="11" t="s">
        <v>364</v>
      </c>
      <c r="J76" s="13" t="s">
        <v>551</v>
      </c>
      <c r="L76" s="21">
        <v>73</v>
      </c>
      <c r="M76" s="22">
        <v>44927</v>
      </c>
      <c r="N76" s="23"/>
      <c r="O76" s="23">
        <f t="shared" ca="1" si="13"/>
        <v>59</v>
      </c>
      <c r="P76" s="23">
        <f t="shared" ca="1" si="14"/>
        <v>139</v>
      </c>
      <c r="Q76" s="23">
        <f t="shared" ca="1" si="15"/>
        <v>139</v>
      </c>
      <c r="R76" s="23">
        <f t="shared" ca="1" si="16"/>
        <v>10</v>
      </c>
      <c r="S76" s="23" t="str">
        <f t="shared" ca="1" si="17"/>
        <v>45/EI, Ixora Lane, Dharmapuri, 636701</v>
      </c>
      <c r="T76" s="23">
        <f t="shared" ca="1" si="18"/>
        <v>150</v>
      </c>
      <c r="U76" s="33" t="str">
        <f t="shared" ca="1" si="19"/>
        <v>10%</v>
      </c>
      <c r="V76" s="29">
        <f t="shared" ca="1" si="20"/>
        <v>1500</v>
      </c>
      <c r="W76" s="29">
        <f t="shared" ca="1" si="21"/>
        <v>1350</v>
      </c>
      <c r="X76" s="23" t="s">
        <v>714</v>
      </c>
      <c r="Y76" s="40">
        <v>0.38333333333333336</v>
      </c>
      <c r="Z76" s="23"/>
      <c r="AA76" s="23"/>
      <c r="AB76" s="23"/>
      <c r="AC76" s="24"/>
    </row>
    <row r="77" spans="2:29" ht="16" x14ac:dyDescent="0.35">
      <c r="B77" s="5">
        <f t="shared" si="22"/>
        <v>74</v>
      </c>
      <c r="C77" s="6" t="s">
        <v>77</v>
      </c>
      <c r="D77" s="7">
        <v>90</v>
      </c>
      <c r="E77" s="32" t="str">
        <f t="shared" si="12"/>
        <v>0</v>
      </c>
      <c r="G77" s="12">
        <f t="shared" si="23"/>
        <v>74</v>
      </c>
      <c r="H77" s="11" t="s">
        <v>180</v>
      </c>
      <c r="I77" s="11" t="s">
        <v>365</v>
      </c>
      <c r="J77" s="13" t="s">
        <v>552</v>
      </c>
      <c r="L77" s="21">
        <v>74</v>
      </c>
      <c r="M77" s="22">
        <v>44927</v>
      </c>
      <c r="N77" s="23"/>
      <c r="O77" s="23">
        <f t="shared" ca="1" si="13"/>
        <v>50</v>
      </c>
      <c r="P77" s="23">
        <f t="shared" ca="1" si="14"/>
        <v>70</v>
      </c>
      <c r="Q77" s="23">
        <f t="shared" ca="1" si="15"/>
        <v>162</v>
      </c>
      <c r="R77" s="23">
        <f t="shared" ca="1" si="16"/>
        <v>5</v>
      </c>
      <c r="S77" s="23" t="str">
        <f t="shared" ca="1" si="17"/>
        <v>67/BR, Rose Lane, Nainital, 263001</v>
      </c>
      <c r="T77" s="23">
        <f t="shared" ca="1" si="18"/>
        <v>40</v>
      </c>
      <c r="U77" s="33" t="str">
        <f t="shared" ca="1" si="19"/>
        <v>0</v>
      </c>
      <c r="V77" s="29">
        <f t="shared" ca="1" si="20"/>
        <v>200</v>
      </c>
      <c r="W77" s="29">
        <f t="shared" ca="1" si="21"/>
        <v>200</v>
      </c>
      <c r="X77" s="23" t="s">
        <v>713</v>
      </c>
      <c r="Y77" s="40">
        <v>0.3840277777777778</v>
      </c>
      <c r="Z77" s="23"/>
      <c r="AA77" s="23"/>
      <c r="AB77" s="23"/>
      <c r="AC77" s="24"/>
    </row>
    <row r="78" spans="2:29" ht="16" x14ac:dyDescent="0.35">
      <c r="B78" s="5">
        <f t="shared" si="22"/>
        <v>75</v>
      </c>
      <c r="C78" s="6" t="s">
        <v>78</v>
      </c>
      <c r="D78" s="7">
        <v>90</v>
      </c>
      <c r="E78" s="32" t="str">
        <f t="shared" si="12"/>
        <v>0</v>
      </c>
      <c r="G78" s="12">
        <f t="shared" si="23"/>
        <v>75</v>
      </c>
      <c r="H78" s="11" t="s">
        <v>181</v>
      </c>
      <c r="I78" s="11" t="s">
        <v>366</v>
      </c>
      <c r="J78" s="13" t="s">
        <v>553</v>
      </c>
      <c r="L78" s="21">
        <v>75</v>
      </c>
      <c r="M78" s="22">
        <v>44927</v>
      </c>
      <c r="N78" s="23"/>
      <c r="O78" s="23">
        <f t="shared" ca="1" si="13"/>
        <v>14</v>
      </c>
      <c r="P78" s="23">
        <f t="shared" ca="1" si="14"/>
        <v>187</v>
      </c>
      <c r="Q78" s="23">
        <f t="shared" ca="1" si="15"/>
        <v>105</v>
      </c>
      <c r="R78" s="23">
        <f t="shared" ca="1" si="16"/>
        <v>4</v>
      </c>
      <c r="S78" s="23" t="str">
        <f t="shared" ca="1" si="17"/>
        <v>45/GE, Ebony Avenue, Kozhikode, 673001</v>
      </c>
      <c r="T78" s="23">
        <f t="shared" ca="1" si="18"/>
        <v>170</v>
      </c>
      <c r="U78" s="33" t="str">
        <f t="shared" ca="1" si="19"/>
        <v>10%</v>
      </c>
      <c r="V78" s="29">
        <f t="shared" ca="1" si="20"/>
        <v>680</v>
      </c>
      <c r="W78" s="29">
        <f t="shared" ca="1" si="21"/>
        <v>612</v>
      </c>
      <c r="X78" s="23" t="s">
        <v>713</v>
      </c>
      <c r="Y78" s="40">
        <v>0.38472222222222224</v>
      </c>
      <c r="Z78" s="23"/>
      <c r="AA78" s="23"/>
      <c r="AB78" s="23"/>
      <c r="AC78" s="24"/>
    </row>
    <row r="79" spans="2:29" ht="16" x14ac:dyDescent="0.35">
      <c r="B79" s="5">
        <f t="shared" si="22"/>
        <v>76</v>
      </c>
      <c r="C79" s="6" t="s">
        <v>79</v>
      </c>
      <c r="D79" s="7">
        <v>90</v>
      </c>
      <c r="E79" s="32" t="str">
        <f t="shared" si="12"/>
        <v>0</v>
      </c>
      <c r="G79" s="12">
        <f t="shared" si="23"/>
        <v>76</v>
      </c>
      <c r="H79" s="11" t="s">
        <v>182</v>
      </c>
      <c r="I79" s="11" t="s">
        <v>367</v>
      </c>
      <c r="J79" s="13" t="s">
        <v>554</v>
      </c>
      <c r="L79" s="21">
        <v>76</v>
      </c>
      <c r="M79" s="22">
        <v>44927</v>
      </c>
      <c r="N79" s="23"/>
      <c r="O79" s="23">
        <f t="shared" ca="1" si="13"/>
        <v>50</v>
      </c>
      <c r="P79" s="23">
        <f t="shared" ca="1" si="14"/>
        <v>106</v>
      </c>
      <c r="Q79" s="23">
        <f t="shared" ca="1" si="15"/>
        <v>136</v>
      </c>
      <c r="R79" s="23">
        <f t="shared" ca="1" si="16"/>
        <v>9</v>
      </c>
      <c r="S79" s="23" t="str">
        <f t="shared" ca="1" si="17"/>
        <v>78/DB, Bluebell Road, Vellore, 632001</v>
      </c>
      <c r="T79" s="23">
        <f t="shared" ca="1" si="18"/>
        <v>40</v>
      </c>
      <c r="U79" s="33" t="str">
        <f t="shared" ca="1" si="19"/>
        <v>0</v>
      </c>
      <c r="V79" s="29">
        <f t="shared" ca="1" si="20"/>
        <v>360</v>
      </c>
      <c r="W79" s="29">
        <f t="shared" ca="1" si="21"/>
        <v>360</v>
      </c>
      <c r="X79" s="23" t="s">
        <v>713</v>
      </c>
      <c r="Y79" s="40">
        <v>0.38541666666666669</v>
      </c>
      <c r="Z79" s="23"/>
      <c r="AA79" s="23"/>
      <c r="AB79" s="23"/>
      <c r="AC79" s="24"/>
    </row>
    <row r="80" spans="2:29" ht="16" x14ac:dyDescent="0.35">
      <c r="B80" s="5">
        <f t="shared" si="22"/>
        <v>77</v>
      </c>
      <c r="C80" s="6" t="s">
        <v>80</v>
      </c>
      <c r="D80" s="7">
        <v>90</v>
      </c>
      <c r="E80" s="32" t="str">
        <f t="shared" si="12"/>
        <v>0</v>
      </c>
      <c r="G80" s="12">
        <f t="shared" si="23"/>
        <v>77</v>
      </c>
      <c r="H80" s="11" t="s">
        <v>183</v>
      </c>
      <c r="I80" s="11" t="s">
        <v>368</v>
      </c>
      <c r="J80" s="13" t="s">
        <v>555</v>
      </c>
      <c r="L80" s="21">
        <v>77</v>
      </c>
      <c r="M80" s="22">
        <v>44927</v>
      </c>
      <c r="N80" s="23"/>
      <c r="O80" s="23">
        <f t="shared" ca="1" si="13"/>
        <v>44</v>
      </c>
      <c r="P80" s="23">
        <f t="shared" ca="1" si="14"/>
        <v>176</v>
      </c>
      <c r="Q80" s="23">
        <f t="shared" ca="1" si="15"/>
        <v>102</v>
      </c>
      <c r="R80" s="23">
        <f t="shared" ca="1" si="16"/>
        <v>1</v>
      </c>
      <c r="S80" s="23" t="str">
        <f t="shared" ca="1" si="17"/>
        <v>78/FT, Tulip Road, Jhunjhunu, 333001</v>
      </c>
      <c r="T80" s="23">
        <f t="shared" ca="1" si="18"/>
        <v>40</v>
      </c>
      <c r="U80" s="33" t="str">
        <f t="shared" ca="1" si="19"/>
        <v>0</v>
      </c>
      <c r="V80" s="29">
        <f t="shared" ca="1" si="20"/>
        <v>40</v>
      </c>
      <c r="W80" s="29">
        <f t="shared" ca="1" si="21"/>
        <v>40</v>
      </c>
      <c r="X80" s="23" t="s">
        <v>713</v>
      </c>
      <c r="Y80" s="40">
        <v>0.38611111111111113</v>
      </c>
      <c r="Z80" s="23"/>
      <c r="AA80" s="23"/>
      <c r="AB80" s="23"/>
      <c r="AC80" s="24"/>
    </row>
    <row r="81" spans="2:29" ht="16" x14ac:dyDescent="0.35">
      <c r="B81" s="5">
        <f t="shared" si="22"/>
        <v>78</v>
      </c>
      <c r="C81" s="6" t="s">
        <v>81</v>
      </c>
      <c r="D81" s="7">
        <v>90</v>
      </c>
      <c r="E81" s="32" t="str">
        <f t="shared" si="12"/>
        <v>0</v>
      </c>
      <c r="G81" s="12">
        <f t="shared" si="23"/>
        <v>78</v>
      </c>
      <c r="H81" s="11" t="s">
        <v>184</v>
      </c>
      <c r="I81" s="11" t="s">
        <v>369</v>
      </c>
      <c r="J81" s="13" t="s">
        <v>556</v>
      </c>
      <c r="L81" s="21">
        <v>78</v>
      </c>
      <c r="M81" s="22">
        <v>44927</v>
      </c>
      <c r="N81" s="23"/>
      <c r="O81" s="23">
        <f t="shared" ca="1" si="13"/>
        <v>77</v>
      </c>
      <c r="P81" s="23">
        <f t="shared" ca="1" si="14"/>
        <v>75</v>
      </c>
      <c r="Q81" s="23">
        <f t="shared" ca="1" si="15"/>
        <v>135</v>
      </c>
      <c r="R81" s="23">
        <f t="shared" ca="1" si="16"/>
        <v>8</v>
      </c>
      <c r="S81" s="23" t="str">
        <f t="shared" ca="1" si="17"/>
        <v>45/BW, Water Lily Street, Panchkula, 134109</v>
      </c>
      <c r="T81" s="23">
        <f t="shared" ca="1" si="18"/>
        <v>90</v>
      </c>
      <c r="U81" s="33" t="str">
        <f t="shared" ca="1" si="19"/>
        <v>0</v>
      </c>
      <c r="V81" s="29">
        <f t="shared" ca="1" si="20"/>
        <v>720</v>
      </c>
      <c r="W81" s="29">
        <f t="shared" ca="1" si="21"/>
        <v>720</v>
      </c>
      <c r="X81" s="23" t="s">
        <v>713</v>
      </c>
      <c r="Y81" s="40">
        <v>0.38680555555555557</v>
      </c>
      <c r="Z81" s="23"/>
      <c r="AA81" s="23"/>
      <c r="AB81" s="23"/>
      <c r="AC81" s="24"/>
    </row>
    <row r="82" spans="2:29" ht="16" x14ac:dyDescent="0.35">
      <c r="B82" s="5">
        <f t="shared" si="22"/>
        <v>79</v>
      </c>
      <c r="C82" s="6" t="s">
        <v>82</v>
      </c>
      <c r="D82" s="7">
        <v>90</v>
      </c>
      <c r="E82" s="32" t="str">
        <f t="shared" si="12"/>
        <v>0</v>
      </c>
      <c r="G82" s="12">
        <f t="shared" si="23"/>
        <v>79</v>
      </c>
      <c r="H82" s="11" t="s">
        <v>185</v>
      </c>
      <c r="I82" s="11" t="s">
        <v>370</v>
      </c>
      <c r="J82" s="13" t="s">
        <v>557</v>
      </c>
      <c r="L82" s="21">
        <v>79</v>
      </c>
      <c r="M82" s="22">
        <v>44927</v>
      </c>
      <c r="N82" s="23"/>
      <c r="O82" s="23">
        <f t="shared" ca="1" si="13"/>
        <v>72</v>
      </c>
      <c r="P82" s="23">
        <f t="shared" ca="1" si="14"/>
        <v>48</v>
      </c>
      <c r="Q82" s="23">
        <f t="shared" ca="1" si="15"/>
        <v>166</v>
      </c>
      <c r="R82" s="23">
        <f t="shared" ca="1" si="16"/>
        <v>9</v>
      </c>
      <c r="S82" s="23" t="str">
        <f t="shared" ca="1" si="17"/>
        <v>78/AV, Verbena Lane, Durgapur, 713201</v>
      </c>
      <c r="T82" s="23">
        <f t="shared" ca="1" si="18"/>
        <v>80</v>
      </c>
      <c r="U82" s="33" t="str">
        <f t="shared" ca="1" si="19"/>
        <v>0</v>
      </c>
      <c r="V82" s="29">
        <f t="shared" ca="1" si="20"/>
        <v>720</v>
      </c>
      <c r="W82" s="29">
        <f t="shared" ca="1" si="21"/>
        <v>720</v>
      </c>
      <c r="X82" s="23" t="s">
        <v>713</v>
      </c>
      <c r="Y82" s="40">
        <v>0.38750000000000001</v>
      </c>
      <c r="Z82" s="23"/>
      <c r="AA82" s="23"/>
      <c r="AB82" s="23"/>
      <c r="AC82" s="24"/>
    </row>
    <row r="83" spans="2:29" ht="16" x14ac:dyDescent="0.35">
      <c r="B83" s="5">
        <f t="shared" si="22"/>
        <v>80</v>
      </c>
      <c r="C83" s="6" t="s">
        <v>83</v>
      </c>
      <c r="D83" s="7">
        <v>90</v>
      </c>
      <c r="E83" s="32" t="str">
        <f t="shared" si="12"/>
        <v>0</v>
      </c>
      <c r="G83" s="12">
        <f t="shared" si="23"/>
        <v>80</v>
      </c>
      <c r="H83" s="11" t="s">
        <v>186</v>
      </c>
      <c r="I83" s="11" t="s">
        <v>371</v>
      </c>
      <c r="J83" s="13" t="s">
        <v>558</v>
      </c>
      <c r="L83" s="21">
        <v>80</v>
      </c>
      <c r="M83" s="22">
        <v>44927</v>
      </c>
      <c r="N83" s="23"/>
      <c r="O83" s="23">
        <f t="shared" ca="1" si="13"/>
        <v>78</v>
      </c>
      <c r="P83" s="23">
        <f t="shared" ca="1" si="14"/>
        <v>171</v>
      </c>
      <c r="Q83" s="23">
        <f t="shared" ca="1" si="15"/>
        <v>129</v>
      </c>
      <c r="R83" s="23">
        <f t="shared" ca="1" si="16"/>
        <v>1</v>
      </c>
      <c r="S83" s="23" t="str">
        <f t="shared" ca="1" si="17"/>
        <v>45/FO, Oleander Lane, Jalore, 343001</v>
      </c>
      <c r="T83" s="23">
        <f t="shared" ca="1" si="18"/>
        <v>90</v>
      </c>
      <c r="U83" s="33" t="str">
        <f t="shared" ca="1" si="19"/>
        <v>0</v>
      </c>
      <c r="V83" s="29">
        <f t="shared" ca="1" si="20"/>
        <v>90</v>
      </c>
      <c r="W83" s="29">
        <f t="shared" ca="1" si="21"/>
        <v>90</v>
      </c>
      <c r="X83" s="23" t="s">
        <v>713</v>
      </c>
      <c r="Y83" s="40">
        <v>0.38819444444444445</v>
      </c>
      <c r="Z83" s="23"/>
      <c r="AA83" s="23"/>
      <c r="AB83" s="23"/>
      <c r="AC83" s="24"/>
    </row>
    <row r="84" spans="2:29" ht="16" x14ac:dyDescent="0.35">
      <c r="B84" s="5">
        <f t="shared" si="22"/>
        <v>81</v>
      </c>
      <c r="C84" s="6" t="s">
        <v>84</v>
      </c>
      <c r="D84" s="7">
        <v>40</v>
      </c>
      <c r="E84" s="32" t="str">
        <f t="shared" si="12"/>
        <v>0</v>
      </c>
      <c r="G84" s="12">
        <f t="shared" si="23"/>
        <v>81</v>
      </c>
      <c r="H84" s="11" t="s">
        <v>187</v>
      </c>
      <c r="I84" s="11" t="s">
        <v>372</v>
      </c>
      <c r="J84" s="13" t="s">
        <v>559</v>
      </c>
      <c r="L84" s="21">
        <v>81</v>
      </c>
      <c r="M84" s="22">
        <v>44927</v>
      </c>
      <c r="N84" s="23"/>
      <c r="O84" s="23">
        <f t="shared" ca="1" si="13"/>
        <v>56</v>
      </c>
      <c r="P84" s="23">
        <f t="shared" ca="1" si="14"/>
        <v>187</v>
      </c>
      <c r="Q84" s="23">
        <f t="shared" ca="1" si="15"/>
        <v>105</v>
      </c>
      <c r="R84" s="23">
        <f t="shared" ca="1" si="16"/>
        <v>1</v>
      </c>
      <c r="S84" s="23" t="str">
        <f t="shared" ca="1" si="17"/>
        <v>45/GE, Ebony Avenue, Kozhikode, 673001</v>
      </c>
      <c r="T84" s="23">
        <f t="shared" ca="1" si="18"/>
        <v>180</v>
      </c>
      <c r="U84" s="33" t="str">
        <f t="shared" ca="1" si="19"/>
        <v>10%</v>
      </c>
      <c r="V84" s="29">
        <f t="shared" ca="1" si="20"/>
        <v>180</v>
      </c>
      <c r="W84" s="29">
        <f t="shared" ca="1" si="21"/>
        <v>162</v>
      </c>
      <c r="X84" s="23" t="s">
        <v>714</v>
      </c>
      <c r="Y84" s="40">
        <v>0.3888888888888889</v>
      </c>
      <c r="Z84" s="23"/>
      <c r="AA84" s="23"/>
      <c r="AB84" s="23"/>
      <c r="AC84" s="24"/>
    </row>
    <row r="85" spans="2:29" ht="16" x14ac:dyDescent="0.35">
      <c r="B85" s="5">
        <f t="shared" si="22"/>
        <v>82</v>
      </c>
      <c r="C85" s="6" t="s">
        <v>85</v>
      </c>
      <c r="D85" s="7">
        <v>40</v>
      </c>
      <c r="E85" s="32" t="str">
        <f t="shared" si="12"/>
        <v>0</v>
      </c>
      <c r="G85" s="12">
        <f t="shared" si="23"/>
        <v>82</v>
      </c>
      <c r="H85" s="11" t="s">
        <v>188</v>
      </c>
      <c r="I85" s="11" t="s">
        <v>373</v>
      </c>
      <c r="J85" s="13" t="s">
        <v>560</v>
      </c>
      <c r="L85" s="21">
        <v>82</v>
      </c>
      <c r="M85" s="22">
        <v>44927</v>
      </c>
      <c r="N85" s="23"/>
      <c r="O85" s="23">
        <f t="shared" ca="1" si="13"/>
        <v>98</v>
      </c>
      <c r="P85" s="23">
        <f t="shared" ca="1" si="14"/>
        <v>160</v>
      </c>
      <c r="Q85" s="23">
        <f t="shared" ca="1" si="15"/>
        <v>105</v>
      </c>
      <c r="R85" s="23">
        <f t="shared" ca="1" si="16"/>
        <v>6</v>
      </c>
      <c r="S85" s="23" t="str">
        <f t="shared" ca="1" si="17"/>
        <v>78/FD, Dahlia Lane, Hassan, 573201</v>
      </c>
      <c r="T85" s="23">
        <f t="shared" ca="1" si="18"/>
        <v>80</v>
      </c>
      <c r="U85" s="33" t="str">
        <f t="shared" ca="1" si="19"/>
        <v>0</v>
      </c>
      <c r="V85" s="29">
        <f t="shared" ca="1" si="20"/>
        <v>480</v>
      </c>
      <c r="W85" s="29">
        <f t="shared" ca="1" si="21"/>
        <v>480</v>
      </c>
      <c r="X85" s="23" t="s">
        <v>714</v>
      </c>
      <c r="Y85" s="40">
        <v>0.38958333333333334</v>
      </c>
      <c r="Z85" s="23"/>
      <c r="AA85" s="23"/>
      <c r="AB85" s="23"/>
      <c r="AC85" s="24"/>
    </row>
    <row r="86" spans="2:29" ht="16" x14ac:dyDescent="0.35">
      <c r="B86" s="5">
        <f t="shared" si="22"/>
        <v>83</v>
      </c>
      <c r="C86" s="6" t="s">
        <v>86</v>
      </c>
      <c r="D86" s="7">
        <v>40</v>
      </c>
      <c r="E86" s="32" t="str">
        <f t="shared" si="12"/>
        <v>0</v>
      </c>
      <c r="G86" s="12">
        <f t="shared" si="23"/>
        <v>83</v>
      </c>
      <c r="H86" s="11" t="s">
        <v>189</v>
      </c>
      <c r="I86" s="11" t="s">
        <v>374</v>
      </c>
      <c r="J86" s="13" t="s">
        <v>561</v>
      </c>
      <c r="L86" s="21">
        <v>83</v>
      </c>
      <c r="M86" s="22">
        <v>44927</v>
      </c>
      <c r="N86" s="23"/>
      <c r="O86" s="23">
        <f t="shared" ca="1" si="13"/>
        <v>100</v>
      </c>
      <c r="P86" s="23">
        <f t="shared" ca="1" si="14"/>
        <v>52</v>
      </c>
      <c r="Q86" s="23">
        <f t="shared" ca="1" si="15"/>
        <v>108</v>
      </c>
      <c r="R86" s="23">
        <f t="shared" ca="1" si="16"/>
        <v>9</v>
      </c>
      <c r="S86" s="23" t="str">
        <f t="shared" ca="1" si="17"/>
        <v>56/AZ, Zinnia Road, Bilaspur, 495001</v>
      </c>
      <c r="T86" s="23">
        <f t="shared" ca="1" si="18"/>
        <v>90</v>
      </c>
      <c r="U86" s="33" t="str">
        <f t="shared" ca="1" si="19"/>
        <v>0</v>
      </c>
      <c r="V86" s="29">
        <f t="shared" ca="1" si="20"/>
        <v>810</v>
      </c>
      <c r="W86" s="29">
        <f t="shared" ca="1" si="21"/>
        <v>810</v>
      </c>
      <c r="X86" s="23" t="s">
        <v>714</v>
      </c>
      <c r="Y86" s="40">
        <v>0.39027777777777778</v>
      </c>
      <c r="Z86" s="23"/>
      <c r="AA86" s="23"/>
      <c r="AB86" s="23"/>
      <c r="AC86" s="24"/>
    </row>
    <row r="87" spans="2:29" ht="16" x14ac:dyDescent="0.35">
      <c r="B87" s="5">
        <f t="shared" si="22"/>
        <v>84</v>
      </c>
      <c r="C87" s="6" t="s">
        <v>87</v>
      </c>
      <c r="D87" s="7">
        <v>40</v>
      </c>
      <c r="E87" s="32" t="str">
        <f t="shared" si="12"/>
        <v>0</v>
      </c>
      <c r="G87" s="12">
        <f t="shared" si="23"/>
        <v>84</v>
      </c>
      <c r="H87" s="11" t="s">
        <v>190</v>
      </c>
      <c r="I87" s="11" t="s">
        <v>375</v>
      </c>
      <c r="J87" s="13" t="s">
        <v>562</v>
      </c>
      <c r="L87" s="21">
        <v>84</v>
      </c>
      <c r="M87" s="22">
        <v>44927</v>
      </c>
      <c r="N87" s="23"/>
      <c r="O87" s="23">
        <f t="shared" ca="1" si="13"/>
        <v>81</v>
      </c>
      <c r="P87" s="23">
        <f t="shared" ca="1" si="14"/>
        <v>148</v>
      </c>
      <c r="Q87" s="23">
        <f t="shared" ca="1" si="15"/>
        <v>138</v>
      </c>
      <c r="R87" s="23">
        <f t="shared" ca="1" si="16"/>
        <v>10</v>
      </c>
      <c r="S87" s="23" t="str">
        <f t="shared" ca="1" si="17"/>
        <v>56/ER, Rosewood Street, Gandhidham, 370201</v>
      </c>
      <c r="T87" s="23">
        <f t="shared" ca="1" si="18"/>
        <v>40</v>
      </c>
      <c r="U87" s="33" t="str">
        <f t="shared" ca="1" si="19"/>
        <v>0</v>
      </c>
      <c r="V87" s="29">
        <f t="shared" ca="1" si="20"/>
        <v>400</v>
      </c>
      <c r="W87" s="29">
        <f t="shared" ca="1" si="21"/>
        <v>400</v>
      </c>
      <c r="X87" s="23" t="s">
        <v>714</v>
      </c>
      <c r="Y87" s="40">
        <v>0.39097222222222222</v>
      </c>
      <c r="Z87" s="23"/>
      <c r="AA87" s="23"/>
      <c r="AB87" s="23"/>
      <c r="AC87" s="24"/>
    </row>
    <row r="88" spans="2:29" ht="16" x14ac:dyDescent="0.35">
      <c r="B88" s="5">
        <f t="shared" si="22"/>
        <v>85</v>
      </c>
      <c r="C88" s="6" t="s">
        <v>88</v>
      </c>
      <c r="D88" s="7">
        <v>40</v>
      </c>
      <c r="E88" s="32" t="str">
        <f t="shared" si="12"/>
        <v>0</v>
      </c>
      <c r="G88" s="12">
        <f t="shared" si="23"/>
        <v>85</v>
      </c>
      <c r="H88" s="11" t="s">
        <v>191</v>
      </c>
      <c r="I88" s="11" t="s">
        <v>376</v>
      </c>
      <c r="J88" s="13" t="s">
        <v>563</v>
      </c>
      <c r="L88" s="21">
        <v>85</v>
      </c>
      <c r="M88" s="22">
        <v>44927</v>
      </c>
      <c r="N88" s="23"/>
      <c r="O88" s="23">
        <f t="shared" ca="1" si="13"/>
        <v>91</v>
      </c>
      <c r="P88" s="23">
        <f t="shared" ca="1" si="14"/>
        <v>116</v>
      </c>
      <c r="Q88" s="23">
        <f t="shared" ca="1" si="15"/>
        <v>136</v>
      </c>
      <c r="R88" s="23">
        <f t="shared" ca="1" si="16"/>
        <v>9</v>
      </c>
      <c r="S88" s="23" t="str">
        <f t="shared" ca="1" si="17"/>
        <v>56/DL, Lily Road, Anantapur, 515001</v>
      </c>
      <c r="T88" s="23">
        <f t="shared" ca="1" si="18"/>
        <v>100</v>
      </c>
      <c r="U88" s="33" t="str">
        <f t="shared" ca="1" si="19"/>
        <v>5%</v>
      </c>
      <c r="V88" s="29">
        <f t="shared" ca="1" si="20"/>
        <v>900</v>
      </c>
      <c r="W88" s="29">
        <f t="shared" ca="1" si="21"/>
        <v>855</v>
      </c>
      <c r="X88" s="23" t="s">
        <v>714</v>
      </c>
      <c r="Y88" s="40">
        <v>0.39166666666666666</v>
      </c>
      <c r="Z88" s="23"/>
      <c r="AA88" s="23"/>
      <c r="AB88" s="23"/>
      <c r="AC88" s="24"/>
    </row>
    <row r="89" spans="2:29" ht="16" x14ac:dyDescent="0.35">
      <c r="B89" s="5">
        <f t="shared" si="22"/>
        <v>86</v>
      </c>
      <c r="C89" s="6" t="s">
        <v>89</v>
      </c>
      <c r="D89" s="7">
        <v>40</v>
      </c>
      <c r="E89" s="32" t="str">
        <f t="shared" si="12"/>
        <v>0</v>
      </c>
      <c r="G89" s="12">
        <f t="shared" si="23"/>
        <v>86</v>
      </c>
      <c r="H89" s="11" t="s">
        <v>192</v>
      </c>
      <c r="I89" s="11" t="s">
        <v>377</v>
      </c>
      <c r="J89" s="13" t="s">
        <v>564</v>
      </c>
      <c r="L89" s="21">
        <v>86</v>
      </c>
      <c r="M89" s="22">
        <v>44927</v>
      </c>
      <c r="N89" s="23"/>
      <c r="O89" s="23">
        <f t="shared" ca="1" si="13"/>
        <v>19</v>
      </c>
      <c r="P89" s="23">
        <f t="shared" ca="1" si="14"/>
        <v>132</v>
      </c>
      <c r="Q89" s="23">
        <f t="shared" ca="1" si="15"/>
        <v>137</v>
      </c>
      <c r="R89" s="23">
        <f t="shared" ca="1" si="16"/>
        <v>4</v>
      </c>
      <c r="S89" s="23" t="str">
        <f t="shared" ca="1" si="17"/>
        <v>56/EB, Bluebell Lane, Chandannagar, 712136</v>
      </c>
      <c r="T89" s="23">
        <f t="shared" ca="1" si="18"/>
        <v>150</v>
      </c>
      <c r="U89" s="33" t="str">
        <f t="shared" ca="1" si="19"/>
        <v>10%</v>
      </c>
      <c r="V89" s="29">
        <f t="shared" ca="1" si="20"/>
        <v>600</v>
      </c>
      <c r="W89" s="29">
        <f t="shared" ca="1" si="21"/>
        <v>540</v>
      </c>
      <c r="X89" s="23" t="s">
        <v>713</v>
      </c>
      <c r="Y89" s="40">
        <v>0.3923611111111111</v>
      </c>
      <c r="Z89" s="23"/>
      <c r="AA89" s="23"/>
      <c r="AB89" s="23"/>
      <c r="AC89" s="24"/>
    </row>
    <row r="90" spans="2:29" ht="16" x14ac:dyDescent="0.35">
      <c r="B90" s="5">
        <f t="shared" si="22"/>
        <v>87</v>
      </c>
      <c r="C90" s="6" t="s">
        <v>90</v>
      </c>
      <c r="D90" s="7">
        <v>40</v>
      </c>
      <c r="E90" s="32" t="str">
        <f t="shared" si="12"/>
        <v>0</v>
      </c>
      <c r="G90" s="12">
        <f t="shared" si="23"/>
        <v>87</v>
      </c>
      <c r="H90" s="11" t="s">
        <v>193</v>
      </c>
      <c r="I90" s="11" t="s">
        <v>378</v>
      </c>
      <c r="J90" s="13" t="s">
        <v>565</v>
      </c>
      <c r="L90" s="21">
        <v>87</v>
      </c>
      <c r="M90" s="22">
        <v>44927</v>
      </c>
      <c r="N90" s="23"/>
      <c r="O90" s="23">
        <f t="shared" ca="1" si="13"/>
        <v>8</v>
      </c>
      <c r="P90" s="23">
        <f t="shared" ca="1" si="14"/>
        <v>17</v>
      </c>
      <c r="Q90" s="23">
        <f t="shared" ca="1" si="15"/>
        <v>116</v>
      </c>
      <c r="R90" s="23">
        <f t="shared" ca="1" si="16"/>
        <v>2</v>
      </c>
      <c r="S90" s="23" t="str">
        <f t="shared" ca="1" si="17"/>
        <v>89/Q, Quince Street, Nagpur, 440001</v>
      </c>
      <c r="T90" s="23">
        <f t="shared" ca="1" si="18"/>
        <v>200</v>
      </c>
      <c r="U90" s="33" t="str">
        <f t="shared" ca="1" si="19"/>
        <v>20%</v>
      </c>
      <c r="V90" s="29">
        <f t="shared" ca="1" si="20"/>
        <v>400</v>
      </c>
      <c r="W90" s="29">
        <f t="shared" ca="1" si="21"/>
        <v>320</v>
      </c>
      <c r="X90" s="23" t="s">
        <v>713</v>
      </c>
      <c r="Y90" s="40">
        <v>0.39305555555555555</v>
      </c>
      <c r="Z90" s="23"/>
      <c r="AA90" s="23"/>
      <c r="AB90" s="23"/>
      <c r="AC90" s="24"/>
    </row>
    <row r="91" spans="2:29" ht="16" x14ac:dyDescent="0.35">
      <c r="B91" s="5">
        <f t="shared" si="22"/>
        <v>88</v>
      </c>
      <c r="C91" s="6" t="s">
        <v>91</v>
      </c>
      <c r="D91" s="7">
        <v>60</v>
      </c>
      <c r="E91" s="32" t="str">
        <f t="shared" si="12"/>
        <v>0</v>
      </c>
      <c r="G91" s="12">
        <f t="shared" si="23"/>
        <v>88</v>
      </c>
      <c r="H91" s="11" t="s">
        <v>194</v>
      </c>
      <c r="I91" s="11" t="s">
        <v>379</v>
      </c>
      <c r="J91" s="13" t="s">
        <v>566</v>
      </c>
      <c r="L91" s="21">
        <v>88</v>
      </c>
      <c r="M91" s="22">
        <v>44927</v>
      </c>
      <c r="N91" s="23"/>
      <c r="O91" s="23">
        <f t="shared" ca="1" si="13"/>
        <v>87</v>
      </c>
      <c r="P91" s="23">
        <f t="shared" ca="1" si="14"/>
        <v>159</v>
      </c>
      <c r="Q91" s="23">
        <f t="shared" ca="1" si="15"/>
        <v>138</v>
      </c>
      <c r="R91" s="23">
        <f t="shared" ca="1" si="16"/>
        <v>8</v>
      </c>
      <c r="S91" s="23" t="str">
        <f t="shared" ca="1" si="17"/>
        <v>34/FC, Camellia Road, Hapur, 245101</v>
      </c>
      <c r="T91" s="23">
        <f t="shared" ca="1" si="18"/>
        <v>40</v>
      </c>
      <c r="U91" s="33" t="str">
        <f t="shared" ca="1" si="19"/>
        <v>0</v>
      </c>
      <c r="V91" s="29">
        <f t="shared" ca="1" si="20"/>
        <v>320</v>
      </c>
      <c r="W91" s="29">
        <f t="shared" ca="1" si="21"/>
        <v>320</v>
      </c>
      <c r="X91" s="23" t="s">
        <v>713</v>
      </c>
      <c r="Y91" s="40">
        <v>0.39374999999999999</v>
      </c>
      <c r="Z91" s="23"/>
      <c r="AA91" s="23"/>
      <c r="AB91" s="23"/>
      <c r="AC91" s="24"/>
    </row>
    <row r="92" spans="2:29" ht="16" x14ac:dyDescent="0.35">
      <c r="B92" s="5">
        <f t="shared" si="22"/>
        <v>89</v>
      </c>
      <c r="C92" s="6" t="s">
        <v>92</v>
      </c>
      <c r="D92" s="7">
        <v>60</v>
      </c>
      <c r="E92" s="32" t="str">
        <f t="shared" si="12"/>
        <v>0</v>
      </c>
      <c r="G92" s="12">
        <f t="shared" si="23"/>
        <v>89</v>
      </c>
      <c r="H92" s="11" t="s">
        <v>195</v>
      </c>
      <c r="I92" s="11" t="s">
        <v>380</v>
      </c>
      <c r="J92" s="13" t="s">
        <v>567</v>
      </c>
      <c r="L92" s="21">
        <v>89</v>
      </c>
      <c r="M92" s="22">
        <v>44927</v>
      </c>
      <c r="N92" s="23"/>
      <c r="O92" s="23">
        <f t="shared" ca="1" si="13"/>
        <v>76</v>
      </c>
      <c r="P92" s="23">
        <f t="shared" ca="1" si="14"/>
        <v>20</v>
      </c>
      <c r="Q92" s="23">
        <f t="shared" ca="1" si="15"/>
        <v>102</v>
      </c>
      <c r="R92" s="23">
        <f t="shared" ca="1" si="16"/>
        <v>6</v>
      </c>
      <c r="S92" s="23" t="str">
        <f t="shared" ca="1" si="17"/>
        <v>56/T, Tamarind Avenue, Agra, 282001</v>
      </c>
      <c r="T92" s="23">
        <f t="shared" ca="1" si="18"/>
        <v>90</v>
      </c>
      <c r="U92" s="33" t="str">
        <f t="shared" ca="1" si="19"/>
        <v>0</v>
      </c>
      <c r="V92" s="29">
        <f t="shared" ca="1" si="20"/>
        <v>540</v>
      </c>
      <c r="W92" s="29">
        <f t="shared" ca="1" si="21"/>
        <v>540</v>
      </c>
      <c r="X92" s="23" t="s">
        <v>713</v>
      </c>
      <c r="Y92" s="40">
        <v>0.39444444444444443</v>
      </c>
      <c r="Z92" s="23"/>
      <c r="AA92" s="23"/>
      <c r="AB92" s="23"/>
      <c r="AC92" s="24"/>
    </row>
    <row r="93" spans="2:29" ht="16" x14ac:dyDescent="0.35">
      <c r="B93" s="5">
        <f t="shared" si="22"/>
        <v>90</v>
      </c>
      <c r="C93" s="6" t="s">
        <v>93</v>
      </c>
      <c r="D93" s="7">
        <v>50</v>
      </c>
      <c r="E93" s="32" t="str">
        <f t="shared" si="12"/>
        <v>0</v>
      </c>
      <c r="G93" s="12">
        <f t="shared" si="23"/>
        <v>90</v>
      </c>
      <c r="H93" s="11" t="s">
        <v>196</v>
      </c>
      <c r="I93" s="11" t="s">
        <v>381</v>
      </c>
      <c r="J93" s="13" t="s">
        <v>568</v>
      </c>
      <c r="L93" s="21">
        <v>90</v>
      </c>
      <c r="M93" s="22">
        <v>44927</v>
      </c>
      <c r="N93" s="23"/>
      <c r="O93" s="23">
        <f t="shared" ca="1" si="13"/>
        <v>21</v>
      </c>
      <c r="P93" s="23">
        <f t="shared" ca="1" si="14"/>
        <v>92</v>
      </c>
      <c r="Q93" s="23">
        <f t="shared" ca="1" si="15"/>
        <v>125</v>
      </c>
      <c r="R93" s="23">
        <f t="shared" ca="1" si="16"/>
        <v>3</v>
      </c>
      <c r="S93" s="23" t="str">
        <f t="shared" ca="1" si="17"/>
        <v>56/CN, Narcissus Lane, Sonipat, 131001</v>
      </c>
      <c r="T93" s="23">
        <f t="shared" ca="1" si="18"/>
        <v>220</v>
      </c>
      <c r="U93" s="33" t="str">
        <f t="shared" ca="1" si="19"/>
        <v>20%</v>
      </c>
      <c r="V93" s="29">
        <f t="shared" ca="1" si="20"/>
        <v>660</v>
      </c>
      <c r="W93" s="29">
        <f t="shared" ca="1" si="21"/>
        <v>528</v>
      </c>
      <c r="X93" s="23" t="s">
        <v>713</v>
      </c>
      <c r="Y93" s="40">
        <v>0.39513888888888887</v>
      </c>
      <c r="Z93" s="23"/>
      <c r="AA93" s="23"/>
      <c r="AB93" s="23"/>
      <c r="AC93" s="24"/>
    </row>
    <row r="94" spans="2:29" ht="16" x14ac:dyDescent="0.35">
      <c r="B94" s="5">
        <f t="shared" si="22"/>
        <v>91</v>
      </c>
      <c r="C94" s="6" t="s">
        <v>94</v>
      </c>
      <c r="D94" s="7">
        <v>100</v>
      </c>
      <c r="E94" s="32" t="str">
        <f t="shared" si="12"/>
        <v>5%</v>
      </c>
      <c r="G94" s="12">
        <f t="shared" si="23"/>
        <v>91</v>
      </c>
      <c r="H94" s="11" t="s">
        <v>197</v>
      </c>
      <c r="I94" s="11" t="s">
        <v>382</v>
      </c>
      <c r="J94" s="13" t="s">
        <v>569</v>
      </c>
      <c r="L94" s="21">
        <v>91</v>
      </c>
      <c r="M94" s="22">
        <v>44927</v>
      </c>
      <c r="N94" s="23"/>
      <c r="O94" s="23">
        <f t="shared" ca="1" si="13"/>
        <v>71</v>
      </c>
      <c r="P94" s="23">
        <f t="shared" ca="1" si="14"/>
        <v>132</v>
      </c>
      <c r="Q94" s="23">
        <f t="shared" ca="1" si="15"/>
        <v>154</v>
      </c>
      <c r="R94" s="23">
        <f t="shared" ca="1" si="16"/>
        <v>8</v>
      </c>
      <c r="S94" s="23" t="str">
        <f t="shared" ca="1" si="17"/>
        <v>56/EB, Bluebell Lane, Chandannagar, 712136</v>
      </c>
      <c r="T94" s="23">
        <f t="shared" ca="1" si="18"/>
        <v>80</v>
      </c>
      <c r="U94" s="33" t="str">
        <f t="shared" ca="1" si="19"/>
        <v>0</v>
      </c>
      <c r="V94" s="29">
        <f t="shared" ca="1" si="20"/>
        <v>640</v>
      </c>
      <c r="W94" s="29">
        <f t="shared" ca="1" si="21"/>
        <v>640</v>
      </c>
      <c r="X94" s="23" t="s">
        <v>713</v>
      </c>
      <c r="Y94" s="40">
        <v>0.39583333333333331</v>
      </c>
      <c r="Z94" s="23"/>
      <c r="AA94" s="23"/>
      <c r="AB94" s="23"/>
      <c r="AC94" s="24"/>
    </row>
    <row r="95" spans="2:29" ht="16" x14ac:dyDescent="0.35">
      <c r="B95" s="5">
        <f t="shared" si="22"/>
        <v>92</v>
      </c>
      <c r="C95" s="6" t="s">
        <v>95</v>
      </c>
      <c r="D95" s="7">
        <v>110</v>
      </c>
      <c r="E95" s="32" t="str">
        <f t="shared" si="12"/>
        <v>5%</v>
      </c>
      <c r="G95" s="12">
        <f t="shared" si="23"/>
        <v>92</v>
      </c>
      <c r="H95" s="11" t="s">
        <v>198</v>
      </c>
      <c r="I95" s="11" t="s">
        <v>383</v>
      </c>
      <c r="J95" s="13" t="s">
        <v>570</v>
      </c>
      <c r="L95" s="21">
        <v>92</v>
      </c>
      <c r="M95" s="22">
        <v>44927</v>
      </c>
      <c r="N95" s="23"/>
      <c r="O95" s="23">
        <f t="shared" ca="1" si="13"/>
        <v>18</v>
      </c>
      <c r="P95" s="23">
        <f t="shared" ca="1" si="14"/>
        <v>138</v>
      </c>
      <c r="Q95" s="23">
        <f t="shared" ca="1" si="15"/>
        <v>136</v>
      </c>
      <c r="R95" s="23">
        <f t="shared" ca="1" si="16"/>
        <v>9</v>
      </c>
      <c r="S95" s="23" t="str">
        <f t="shared" ca="1" si="17"/>
        <v>78/EH, Hibiscus Street, Darbhanga, 846004</v>
      </c>
      <c r="T95" s="23">
        <f t="shared" ca="1" si="18"/>
        <v>170</v>
      </c>
      <c r="U95" s="33" t="str">
        <f t="shared" ca="1" si="19"/>
        <v>10%</v>
      </c>
      <c r="V95" s="29">
        <f t="shared" ca="1" si="20"/>
        <v>1530</v>
      </c>
      <c r="W95" s="29">
        <f t="shared" ca="1" si="21"/>
        <v>1377</v>
      </c>
      <c r="X95" s="23" t="s">
        <v>713</v>
      </c>
      <c r="Y95" s="40">
        <v>0.39652777777777776</v>
      </c>
      <c r="Z95" s="23"/>
      <c r="AA95" s="23"/>
      <c r="AB95" s="23"/>
      <c r="AC95" s="24"/>
    </row>
    <row r="96" spans="2:29" ht="16" x14ac:dyDescent="0.35">
      <c r="B96" s="5">
        <f t="shared" si="22"/>
        <v>93</v>
      </c>
      <c r="C96" s="6" t="s">
        <v>96</v>
      </c>
      <c r="D96" s="7">
        <v>110</v>
      </c>
      <c r="E96" s="32" t="str">
        <f t="shared" si="12"/>
        <v>5%</v>
      </c>
      <c r="G96" s="12">
        <f t="shared" si="23"/>
        <v>93</v>
      </c>
      <c r="H96" s="11" t="s">
        <v>199</v>
      </c>
      <c r="I96" s="11" t="s">
        <v>384</v>
      </c>
      <c r="J96" s="13" t="s">
        <v>571</v>
      </c>
      <c r="L96" s="21">
        <v>93</v>
      </c>
      <c r="M96" s="22">
        <v>44927</v>
      </c>
      <c r="N96" s="23"/>
      <c r="O96" s="23">
        <f t="shared" ca="1" si="13"/>
        <v>67</v>
      </c>
      <c r="P96" s="23">
        <f t="shared" ca="1" si="14"/>
        <v>106</v>
      </c>
      <c r="Q96" s="23">
        <f t="shared" ca="1" si="15"/>
        <v>116</v>
      </c>
      <c r="R96" s="23">
        <f t="shared" ca="1" si="16"/>
        <v>5</v>
      </c>
      <c r="S96" s="23" t="str">
        <f t="shared" ca="1" si="17"/>
        <v>78/DB, Bluebell Road, Vellore, 632001</v>
      </c>
      <c r="T96" s="23">
        <f t="shared" ca="1" si="18"/>
        <v>100</v>
      </c>
      <c r="U96" s="33" t="str">
        <f t="shared" ca="1" si="19"/>
        <v>5%</v>
      </c>
      <c r="V96" s="29">
        <f t="shared" ca="1" si="20"/>
        <v>500</v>
      </c>
      <c r="W96" s="29">
        <f t="shared" ca="1" si="21"/>
        <v>475</v>
      </c>
      <c r="X96" s="23" t="s">
        <v>713</v>
      </c>
      <c r="Y96" s="40">
        <v>0.3972222222222222</v>
      </c>
      <c r="Z96" s="23"/>
      <c r="AA96" s="23"/>
      <c r="AB96" s="23"/>
      <c r="AC96" s="24"/>
    </row>
    <row r="97" spans="2:29" ht="16" x14ac:dyDescent="0.35">
      <c r="B97" s="5">
        <f t="shared" si="22"/>
        <v>94</v>
      </c>
      <c r="C97" s="6" t="s">
        <v>97</v>
      </c>
      <c r="D97" s="7">
        <v>110</v>
      </c>
      <c r="E97" s="32" t="str">
        <f t="shared" si="12"/>
        <v>5%</v>
      </c>
      <c r="G97" s="12">
        <f t="shared" si="23"/>
        <v>94</v>
      </c>
      <c r="H97" s="11" t="s">
        <v>200</v>
      </c>
      <c r="I97" s="11" t="s">
        <v>385</v>
      </c>
      <c r="J97" s="13" t="s">
        <v>572</v>
      </c>
      <c r="L97" s="21">
        <v>94</v>
      </c>
      <c r="M97" s="22">
        <v>44927</v>
      </c>
      <c r="N97" s="23"/>
      <c r="O97" s="23">
        <f t="shared" ca="1" si="13"/>
        <v>100</v>
      </c>
      <c r="P97" s="23">
        <f t="shared" ca="1" si="14"/>
        <v>20</v>
      </c>
      <c r="Q97" s="23">
        <f t="shared" ca="1" si="15"/>
        <v>151</v>
      </c>
      <c r="R97" s="23">
        <f t="shared" ca="1" si="16"/>
        <v>4</v>
      </c>
      <c r="S97" s="23" t="str">
        <f t="shared" ca="1" si="17"/>
        <v>56/T, Tamarind Avenue, Agra, 282001</v>
      </c>
      <c r="T97" s="23">
        <f t="shared" ca="1" si="18"/>
        <v>90</v>
      </c>
      <c r="U97" s="33" t="str">
        <f t="shared" ca="1" si="19"/>
        <v>0</v>
      </c>
      <c r="V97" s="29">
        <f t="shared" ca="1" si="20"/>
        <v>360</v>
      </c>
      <c r="W97" s="29">
        <f t="shared" ca="1" si="21"/>
        <v>360</v>
      </c>
      <c r="X97" s="23" t="s">
        <v>713</v>
      </c>
      <c r="Y97" s="40">
        <v>0.39791666666666664</v>
      </c>
      <c r="Z97" s="23"/>
      <c r="AA97" s="23"/>
      <c r="AB97" s="23"/>
      <c r="AC97" s="24"/>
    </row>
    <row r="98" spans="2:29" ht="16" x14ac:dyDescent="0.35">
      <c r="B98" s="5">
        <f t="shared" si="22"/>
        <v>95</v>
      </c>
      <c r="C98" s="6" t="s">
        <v>98</v>
      </c>
      <c r="D98" s="7">
        <v>110</v>
      </c>
      <c r="E98" s="32" t="str">
        <f t="shared" si="12"/>
        <v>5%</v>
      </c>
      <c r="G98" s="12">
        <f t="shared" si="23"/>
        <v>95</v>
      </c>
      <c r="H98" s="11" t="s">
        <v>201</v>
      </c>
      <c r="I98" s="11" t="s">
        <v>386</v>
      </c>
      <c r="J98" s="13" t="s">
        <v>573</v>
      </c>
      <c r="L98" s="21">
        <v>95</v>
      </c>
      <c r="M98" s="22">
        <v>44927</v>
      </c>
      <c r="N98" s="23"/>
      <c r="O98" s="23">
        <f t="shared" ca="1" si="13"/>
        <v>56</v>
      </c>
      <c r="P98" s="23">
        <f t="shared" ca="1" si="14"/>
        <v>160</v>
      </c>
      <c r="Q98" s="23">
        <f t="shared" ca="1" si="15"/>
        <v>126</v>
      </c>
      <c r="R98" s="23">
        <f t="shared" ca="1" si="16"/>
        <v>3</v>
      </c>
      <c r="S98" s="23" t="str">
        <f t="shared" ca="1" si="17"/>
        <v>78/FD, Dahlia Lane, Hassan, 573201</v>
      </c>
      <c r="T98" s="23">
        <f t="shared" ca="1" si="18"/>
        <v>180</v>
      </c>
      <c r="U98" s="33" t="str">
        <f t="shared" ca="1" si="19"/>
        <v>10%</v>
      </c>
      <c r="V98" s="29">
        <f t="shared" ca="1" si="20"/>
        <v>540</v>
      </c>
      <c r="W98" s="29">
        <f t="shared" ca="1" si="21"/>
        <v>486</v>
      </c>
      <c r="X98" s="23" t="s">
        <v>713</v>
      </c>
      <c r="Y98" s="40">
        <v>0.39861111111111114</v>
      </c>
      <c r="Z98" s="23"/>
      <c r="AA98" s="23"/>
      <c r="AB98" s="23"/>
      <c r="AC98" s="24"/>
    </row>
    <row r="99" spans="2:29" ht="16" x14ac:dyDescent="0.35">
      <c r="B99" s="5">
        <f t="shared" si="22"/>
        <v>96</v>
      </c>
      <c r="C99" s="6" t="s">
        <v>99</v>
      </c>
      <c r="D99" s="7">
        <v>80</v>
      </c>
      <c r="E99" s="32" t="str">
        <f t="shared" si="12"/>
        <v>0</v>
      </c>
      <c r="G99" s="12">
        <f t="shared" si="23"/>
        <v>96</v>
      </c>
      <c r="H99" s="11" t="s">
        <v>202</v>
      </c>
      <c r="I99" s="11" t="s">
        <v>387</v>
      </c>
      <c r="J99" s="13" t="s">
        <v>574</v>
      </c>
      <c r="L99" s="21">
        <v>96</v>
      </c>
      <c r="M99" s="22">
        <v>44927</v>
      </c>
      <c r="N99" s="23"/>
      <c r="O99" s="23">
        <f t="shared" ca="1" si="13"/>
        <v>8</v>
      </c>
      <c r="P99" s="23">
        <f t="shared" ca="1" si="14"/>
        <v>171</v>
      </c>
      <c r="Q99" s="23">
        <f t="shared" ca="1" si="15"/>
        <v>161</v>
      </c>
      <c r="R99" s="23">
        <f t="shared" ca="1" si="16"/>
        <v>4</v>
      </c>
      <c r="S99" s="23" t="str">
        <f t="shared" ca="1" si="17"/>
        <v>45/FO, Oleander Lane, Jalore, 343001</v>
      </c>
      <c r="T99" s="23">
        <f t="shared" ca="1" si="18"/>
        <v>200</v>
      </c>
      <c r="U99" s="33" t="str">
        <f t="shared" ca="1" si="19"/>
        <v>20%</v>
      </c>
      <c r="V99" s="29">
        <f t="shared" ca="1" si="20"/>
        <v>800</v>
      </c>
      <c r="W99" s="29">
        <f t="shared" ca="1" si="21"/>
        <v>640</v>
      </c>
      <c r="X99" s="23" t="s">
        <v>713</v>
      </c>
      <c r="Y99" s="40">
        <v>0.39930555555555558</v>
      </c>
      <c r="Z99" s="23"/>
      <c r="AA99" s="23"/>
      <c r="AB99" s="23"/>
      <c r="AC99" s="24"/>
    </row>
    <row r="100" spans="2:29" ht="16" x14ac:dyDescent="0.35">
      <c r="B100" s="5">
        <f t="shared" si="22"/>
        <v>97</v>
      </c>
      <c r="C100" s="6" t="s">
        <v>100</v>
      </c>
      <c r="D100" s="7">
        <v>80</v>
      </c>
      <c r="E100" s="32" t="str">
        <f t="shared" si="12"/>
        <v>0</v>
      </c>
      <c r="G100" s="12">
        <f t="shared" si="23"/>
        <v>97</v>
      </c>
      <c r="H100" s="11" t="s">
        <v>203</v>
      </c>
      <c r="I100" s="11" t="s">
        <v>388</v>
      </c>
      <c r="J100" s="13" t="s">
        <v>575</v>
      </c>
      <c r="L100" s="21">
        <v>97</v>
      </c>
      <c r="M100" s="22">
        <v>44927</v>
      </c>
      <c r="N100" s="23"/>
      <c r="O100" s="23">
        <f t="shared" ca="1" si="13"/>
        <v>59</v>
      </c>
      <c r="P100" s="23">
        <f t="shared" ca="1" si="14"/>
        <v>19</v>
      </c>
      <c r="Q100" s="23">
        <f t="shared" ca="1" si="15"/>
        <v>141</v>
      </c>
      <c r="R100" s="23">
        <f t="shared" ca="1" si="16"/>
        <v>8</v>
      </c>
      <c r="S100" s="23" t="str">
        <f t="shared" ca="1" si="17"/>
        <v>45/S, Sunflower Lane, Ludhiana, 141001</v>
      </c>
      <c r="T100" s="23">
        <f t="shared" ca="1" si="18"/>
        <v>150</v>
      </c>
      <c r="U100" s="33" t="str">
        <f t="shared" ca="1" si="19"/>
        <v>10%</v>
      </c>
      <c r="V100" s="29">
        <f t="shared" ca="1" si="20"/>
        <v>1200</v>
      </c>
      <c r="W100" s="29">
        <f t="shared" ca="1" si="21"/>
        <v>1080</v>
      </c>
      <c r="X100" s="23" t="s">
        <v>713</v>
      </c>
      <c r="Y100" s="40">
        <v>0.4</v>
      </c>
      <c r="Z100" s="23"/>
      <c r="AA100" s="23"/>
      <c r="AB100" s="23"/>
      <c r="AC100" s="24"/>
    </row>
    <row r="101" spans="2:29" ht="16" x14ac:dyDescent="0.35">
      <c r="B101" s="5">
        <f t="shared" si="22"/>
        <v>98</v>
      </c>
      <c r="C101" s="6" t="s">
        <v>101</v>
      </c>
      <c r="D101" s="7">
        <v>80</v>
      </c>
      <c r="E101" s="32" t="str">
        <f t="shared" si="12"/>
        <v>0</v>
      </c>
      <c r="G101" s="12">
        <f t="shared" si="23"/>
        <v>98</v>
      </c>
      <c r="H101" s="11" t="s">
        <v>204</v>
      </c>
      <c r="I101" s="11" t="s">
        <v>389</v>
      </c>
      <c r="J101" s="13" t="s">
        <v>576</v>
      </c>
      <c r="L101" s="21">
        <v>98</v>
      </c>
      <c r="M101" s="22">
        <v>44927</v>
      </c>
      <c r="N101" s="23"/>
      <c r="O101" s="23">
        <f t="shared" ca="1" si="13"/>
        <v>63</v>
      </c>
      <c r="P101" s="23">
        <f t="shared" ca="1" si="14"/>
        <v>125</v>
      </c>
      <c r="Q101" s="23">
        <f t="shared" ca="1" si="15"/>
        <v>155</v>
      </c>
      <c r="R101" s="23">
        <f t="shared" ca="1" si="16"/>
        <v>8</v>
      </c>
      <c r="S101" s="23" t="str">
        <f t="shared" ca="1" si="17"/>
        <v>23/DU, Utopia Lane, Bhilai, 490001</v>
      </c>
      <c r="T101" s="23">
        <f t="shared" ca="1" si="18"/>
        <v>100</v>
      </c>
      <c r="U101" s="33" t="str">
        <f t="shared" ca="1" si="19"/>
        <v>5%</v>
      </c>
      <c r="V101" s="29">
        <f t="shared" ca="1" si="20"/>
        <v>800</v>
      </c>
      <c r="W101" s="29">
        <f t="shared" ca="1" si="21"/>
        <v>760</v>
      </c>
      <c r="X101" s="23" t="s">
        <v>713</v>
      </c>
      <c r="Y101" s="40">
        <v>0.40069444444444446</v>
      </c>
      <c r="Z101" s="23"/>
      <c r="AA101" s="23"/>
      <c r="AB101" s="23"/>
      <c r="AC101" s="24"/>
    </row>
    <row r="102" spans="2:29" ht="16" x14ac:dyDescent="0.35">
      <c r="B102" s="5">
        <f t="shared" si="22"/>
        <v>99</v>
      </c>
      <c r="C102" s="6" t="s">
        <v>102</v>
      </c>
      <c r="D102" s="7">
        <v>80</v>
      </c>
      <c r="E102" s="32" t="str">
        <f t="shared" si="12"/>
        <v>0</v>
      </c>
      <c r="G102" s="12">
        <f t="shared" si="23"/>
        <v>99</v>
      </c>
      <c r="H102" s="11" t="s">
        <v>139</v>
      </c>
      <c r="I102" s="11" t="s">
        <v>390</v>
      </c>
      <c r="J102" s="13" t="s">
        <v>577</v>
      </c>
      <c r="L102" s="21">
        <v>99</v>
      </c>
      <c r="M102" s="22">
        <v>44927</v>
      </c>
      <c r="N102" s="23"/>
      <c r="O102" s="23">
        <f t="shared" ca="1" si="13"/>
        <v>28</v>
      </c>
      <c r="P102" s="23">
        <f t="shared" ca="1" si="14"/>
        <v>26</v>
      </c>
      <c r="Q102" s="23">
        <f t="shared" ca="1" si="15"/>
        <v>105</v>
      </c>
      <c r="R102" s="23">
        <f t="shared" ca="1" si="16"/>
        <v>2</v>
      </c>
      <c r="S102" s="23" t="str">
        <f t="shared" ca="1" si="17"/>
        <v>78/Z, Zinnia Street, Madurai, 625001</v>
      </c>
      <c r="T102" s="23">
        <f t="shared" ca="1" si="18"/>
        <v>240</v>
      </c>
      <c r="U102" s="33" t="str">
        <f t="shared" ca="1" si="19"/>
        <v>20%</v>
      </c>
      <c r="V102" s="29">
        <f t="shared" ca="1" si="20"/>
        <v>480</v>
      </c>
      <c r="W102" s="29">
        <f t="shared" ca="1" si="21"/>
        <v>384</v>
      </c>
      <c r="X102" s="23" t="s">
        <v>714</v>
      </c>
      <c r="Y102" s="40">
        <v>0.40138888888888891</v>
      </c>
      <c r="Z102" s="23"/>
      <c r="AA102" s="23"/>
      <c r="AB102" s="23"/>
      <c r="AC102" s="24"/>
    </row>
    <row r="103" spans="2:29" ht="16" x14ac:dyDescent="0.35">
      <c r="B103" s="5">
        <f t="shared" si="22"/>
        <v>100</v>
      </c>
      <c r="C103" s="6" t="s">
        <v>103</v>
      </c>
      <c r="D103" s="7">
        <v>90</v>
      </c>
      <c r="E103" s="32" t="str">
        <f t="shared" si="12"/>
        <v>0</v>
      </c>
      <c r="G103" s="12">
        <f t="shared" si="23"/>
        <v>100</v>
      </c>
      <c r="H103" s="11" t="s">
        <v>205</v>
      </c>
      <c r="I103" s="11" t="s">
        <v>391</v>
      </c>
      <c r="J103" s="13" t="s">
        <v>578</v>
      </c>
      <c r="L103" s="21">
        <v>100</v>
      </c>
      <c r="M103" s="22">
        <v>44927</v>
      </c>
      <c r="N103" s="23"/>
      <c r="O103" s="23">
        <f t="shared" ca="1" si="13"/>
        <v>13</v>
      </c>
      <c r="P103" s="23">
        <f t="shared" ca="1" si="14"/>
        <v>3</v>
      </c>
      <c r="Q103" s="23">
        <f t="shared" ca="1" si="15"/>
        <v>166</v>
      </c>
      <c r="R103" s="23">
        <f t="shared" ca="1" si="16"/>
        <v>5</v>
      </c>
      <c r="S103" s="23" t="str">
        <f t="shared" ca="1" si="17"/>
        <v>78/C, Rose Street, Kolkata, 700001</v>
      </c>
      <c r="T103" s="23">
        <f t="shared" ca="1" si="18"/>
        <v>200</v>
      </c>
      <c r="U103" s="33" t="str">
        <f t="shared" ca="1" si="19"/>
        <v>20%</v>
      </c>
      <c r="V103" s="29">
        <f t="shared" ca="1" si="20"/>
        <v>1000</v>
      </c>
      <c r="W103" s="29">
        <f t="shared" ca="1" si="21"/>
        <v>800</v>
      </c>
      <c r="X103" s="23" t="s">
        <v>714</v>
      </c>
      <c r="Y103" s="40">
        <v>0.40208333333333335</v>
      </c>
      <c r="Z103" s="23"/>
      <c r="AA103" s="23"/>
      <c r="AB103" s="23"/>
      <c r="AC103" s="24"/>
    </row>
    <row r="104" spans="2:29" ht="16" x14ac:dyDescent="0.35">
      <c r="B104" s="5">
        <f t="shared" si="22"/>
        <v>101</v>
      </c>
      <c r="C104" s="6" t="s">
        <v>104</v>
      </c>
      <c r="D104" s="7">
        <v>110</v>
      </c>
      <c r="E104" s="32" t="str">
        <f t="shared" si="12"/>
        <v>5%</v>
      </c>
      <c r="G104" s="12">
        <f t="shared" si="23"/>
        <v>101</v>
      </c>
      <c r="H104" s="11" t="s">
        <v>206</v>
      </c>
      <c r="I104" s="11" t="s">
        <v>392</v>
      </c>
      <c r="J104" s="13" t="s">
        <v>579</v>
      </c>
      <c r="L104" s="21">
        <v>101</v>
      </c>
      <c r="M104" s="22">
        <v>44927</v>
      </c>
      <c r="N104" s="23"/>
      <c r="O104" s="23">
        <f t="shared" ca="1" si="13"/>
        <v>78</v>
      </c>
      <c r="P104" s="23">
        <f t="shared" ca="1" si="14"/>
        <v>88</v>
      </c>
      <c r="Q104" s="23">
        <f t="shared" ca="1" si="15"/>
        <v>116</v>
      </c>
      <c r="R104" s="23">
        <f t="shared" ca="1" si="16"/>
        <v>6</v>
      </c>
      <c r="S104" s="23" t="str">
        <f t="shared" ca="1" si="17"/>
        <v>78/CJ, Jasmine Road, Satna, 485001</v>
      </c>
      <c r="T104" s="23">
        <f t="shared" ca="1" si="18"/>
        <v>90</v>
      </c>
      <c r="U104" s="33" t="str">
        <f t="shared" ca="1" si="19"/>
        <v>0</v>
      </c>
      <c r="V104" s="29">
        <f t="shared" ca="1" si="20"/>
        <v>540</v>
      </c>
      <c r="W104" s="29">
        <f t="shared" ca="1" si="21"/>
        <v>540</v>
      </c>
      <c r="X104" s="23" t="s">
        <v>714</v>
      </c>
      <c r="Y104" s="40">
        <v>0.40277777777777779</v>
      </c>
      <c r="Z104" s="23"/>
      <c r="AA104" s="23"/>
      <c r="AB104" s="23"/>
      <c r="AC104" s="24"/>
    </row>
    <row r="105" spans="2:29" ht="16" x14ac:dyDescent="0.35">
      <c r="B105" s="5">
        <f t="shared" si="22"/>
        <v>102</v>
      </c>
      <c r="C105" s="6" t="s">
        <v>105</v>
      </c>
      <c r="D105" s="7">
        <v>110</v>
      </c>
      <c r="E105" s="32" t="str">
        <f t="shared" si="12"/>
        <v>5%</v>
      </c>
      <c r="G105" s="12">
        <f t="shared" si="23"/>
        <v>102</v>
      </c>
      <c r="H105" s="11" t="s">
        <v>207</v>
      </c>
      <c r="I105" s="11" t="s">
        <v>393</v>
      </c>
      <c r="J105" s="13" t="s">
        <v>580</v>
      </c>
      <c r="L105" s="21">
        <v>102</v>
      </c>
      <c r="M105" s="22">
        <v>44927</v>
      </c>
      <c r="N105" s="23"/>
      <c r="O105" s="23">
        <f t="shared" ca="1" si="13"/>
        <v>95</v>
      </c>
      <c r="P105" s="23">
        <f t="shared" ca="1" si="14"/>
        <v>78</v>
      </c>
      <c r="Q105" s="23">
        <f t="shared" ca="1" si="15"/>
        <v>100</v>
      </c>
      <c r="R105" s="23">
        <f t="shared" ca="1" si="16"/>
        <v>3</v>
      </c>
      <c r="S105" s="23" t="str">
        <f t="shared" ca="1" si="17"/>
        <v>67/BZ, Zinnia Lane, Ratlam, 457001</v>
      </c>
      <c r="T105" s="23">
        <f t="shared" ca="1" si="18"/>
        <v>110</v>
      </c>
      <c r="U105" s="33" t="str">
        <f t="shared" ca="1" si="19"/>
        <v>5%</v>
      </c>
      <c r="V105" s="29">
        <f t="shared" ca="1" si="20"/>
        <v>330</v>
      </c>
      <c r="W105" s="29">
        <f t="shared" ca="1" si="21"/>
        <v>313.5</v>
      </c>
      <c r="X105" s="23" t="s">
        <v>714</v>
      </c>
      <c r="Y105" s="40">
        <v>0.40347222222222223</v>
      </c>
      <c r="Z105" s="23"/>
      <c r="AA105" s="23"/>
      <c r="AB105" s="23"/>
      <c r="AC105" s="24"/>
    </row>
    <row r="106" spans="2:29" ht="16.5" thickBot="1" x14ac:dyDescent="0.4">
      <c r="B106" s="8">
        <f t="shared" si="22"/>
        <v>103</v>
      </c>
      <c r="C106" s="9" t="s">
        <v>106</v>
      </c>
      <c r="D106" s="10">
        <v>110</v>
      </c>
      <c r="E106" s="32" t="str">
        <f t="shared" si="12"/>
        <v>5%</v>
      </c>
      <c r="G106" s="12">
        <f t="shared" si="23"/>
        <v>103</v>
      </c>
      <c r="H106" s="11" t="s">
        <v>208</v>
      </c>
      <c r="I106" s="11" t="s">
        <v>394</v>
      </c>
      <c r="J106" s="13" t="s">
        <v>581</v>
      </c>
      <c r="L106" s="21">
        <v>103</v>
      </c>
      <c r="M106" s="22">
        <v>44927</v>
      </c>
      <c r="N106" s="23"/>
      <c r="O106" s="23">
        <f t="shared" ca="1" si="13"/>
        <v>19</v>
      </c>
      <c r="P106" s="23">
        <f t="shared" ca="1" si="14"/>
        <v>70</v>
      </c>
      <c r="Q106" s="23">
        <f t="shared" ca="1" si="15"/>
        <v>104</v>
      </c>
      <c r="R106" s="23">
        <f t="shared" ca="1" si="16"/>
        <v>10</v>
      </c>
      <c r="S106" s="23" t="str">
        <f t="shared" ca="1" si="17"/>
        <v>67/BR, Rose Lane, Nainital, 263001</v>
      </c>
      <c r="T106" s="23">
        <f t="shared" ca="1" si="18"/>
        <v>150</v>
      </c>
      <c r="U106" s="33" t="str">
        <f t="shared" ca="1" si="19"/>
        <v>10%</v>
      </c>
      <c r="V106" s="29">
        <f t="shared" ca="1" si="20"/>
        <v>1500</v>
      </c>
      <c r="W106" s="29">
        <f t="shared" ca="1" si="21"/>
        <v>1350</v>
      </c>
      <c r="X106" s="23" t="s">
        <v>714</v>
      </c>
      <c r="Y106" s="40">
        <v>0.40416666666666667</v>
      </c>
      <c r="Z106" s="23"/>
      <c r="AA106" s="23"/>
      <c r="AB106" s="23"/>
      <c r="AC106" s="24"/>
    </row>
    <row r="107" spans="2:29" x14ac:dyDescent="0.35">
      <c r="G107" s="12">
        <f t="shared" si="23"/>
        <v>104</v>
      </c>
      <c r="H107" s="11" t="s">
        <v>209</v>
      </c>
      <c r="I107" s="11" t="s">
        <v>395</v>
      </c>
      <c r="J107" s="13" t="s">
        <v>582</v>
      </c>
      <c r="L107" s="21">
        <v>104</v>
      </c>
      <c r="M107" s="22">
        <v>44927</v>
      </c>
      <c r="N107" s="23"/>
      <c r="O107" s="23">
        <f t="shared" ca="1" si="13"/>
        <v>46</v>
      </c>
      <c r="P107" s="23">
        <f t="shared" ca="1" si="14"/>
        <v>168</v>
      </c>
      <c r="Q107" s="23">
        <f t="shared" ca="1" si="15"/>
        <v>122</v>
      </c>
      <c r="R107" s="23">
        <f t="shared" ca="1" si="16"/>
        <v>9</v>
      </c>
      <c r="S107" s="23" t="str">
        <f t="shared" ca="1" si="17"/>
        <v>78/FL, Lily Road, Jagdalpur, 494001</v>
      </c>
      <c r="T107" s="23">
        <f t="shared" ca="1" si="18"/>
        <v>40</v>
      </c>
      <c r="U107" s="33" t="str">
        <f t="shared" ca="1" si="19"/>
        <v>0</v>
      </c>
      <c r="V107" s="29">
        <f t="shared" ca="1" si="20"/>
        <v>360</v>
      </c>
      <c r="W107" s="29">
        <f t="shared" ca="1" si="21"/>
        <v>360</v>
      </c>
      <c r="X107" s="23" t="s">
        <v>714</v>
      </c>
      <c r="Y107" s="40">
        <v>0.40486111111111112</v>
      </c>
      <c r="Z107" s="23"/>
      <c r="AA107" s="23"/>
      <c r="AB107" s="23"/>
      <c r="AC107" s="24"/>
    </row>
    <row r="108" spans="2:29" x14ac:dyDescent="0.35">
      <c r="G108" s="12">
        <f t="shared" si="23"/>
        <v>105</v>
      </c>
      <c r="H108" s="11" t="s">
        <v>210</v>
      </c>
      <c r="I108" s="11" t="s">
        <v>396</v>
      </c>
      <c r="J108" s="13" t="s">
        <v>583</v>
      </c>
      <c r="L108" s="21">
        <v>105</v>
      </c>
      <c r="M108" s="22">
        <v>44927</v>
      </c>
      <c r="N108" s="23"/>
      <c r="O108" s="23">
        <f t="shared" ca="1" si="13"/>
        <v>86</v>
      </c>
      <c r="P108" s="23">
        <f t="shared" ca="1" si="14"/>
        <v>171</v>
      </c>
      <c r="Q108" s="23">
        <f t="shared" ca="1" si="15"/>
        <v>108</v>
      </c>
      <c r="R108" s="23">
        <f t="shared" ca="1" si="16"/>
        <v>10</v>
      </c>
      <c r="S108" s="23" t="str">
        <f t="shared" ca="1" si="17"/>
        <v>45/FO, Oleander Lane, Jalore, 343001</v>
      </c>
      <c r="T108" s="23">
        <f t="shared" ca="1" si="18"/>
        <v>40</v>
      </c>
      <c r="U108" s="33" t="str">
        <f t="shared" ca="1" si="19"/>
        <v>0</v>
      </c>
      <c r="V108" s="29">
        <f t="shared" ca="1" si="20"/>
        <v>400</v>
      </c>
      <c r="W108" s="29">
        <f t="shared" ca="1" si="21"/>
        <v>400</v>
      </c>
      <c r="X108" s="23" t="s">
        <v>714</v>
      </c>
      <c r="Y108" s="40">
        <v>0.40555555555555556</v>
      </c>
      <c r="Z108" s="23"/>
      <c r="AA108" s="23"/>
      <c r="AB108" s="23"/>
      <c r="AC108" s="24"/>
    </row>
    <row r="109" spans="2:29" x14ac:dyDescent="0.35">
      <c r="G109" s="12">
        <f t="shared" si="23"/>
        <v>106</v>
      </c>
      <c r="H109" s="11" t="s">
        <v>211</v>
      </c>
      <c r="I109" s="11" t="s">
        <v>397</v>
      </c>
      <c r="J109" s="13" t="s">
        <v>584</v>
      </c>
      <c r="L109" s="21">
        <v>106</v>
      </c>
      <c r="M109" s="22">
        <v>44927</v>
      </c>
      <c r="N109" s="23"/>
      <c r="O109" s="23">
        <f t="shared" ca="1" si="13"/>
        <v>82</v>
      </c>
      <c r="P109" s="23">
        <f t="shared" ca="1" si="14"/>
        <v>39</v>
      </c>
      <c r="Q109" s="23">
        <f t="shared" ca="1" si="15"/>
        <v>123</v>
      </c>
      <c r="R109" s="23">
        <f t="shared" ca="1" si="16"/>
        <v>9</v>
      </c>
      <c r="S109" s="23" t="str">
        <f t="shared" ca="1" si="17"/>
        <v>34/AM, Marigold Lane, Meerut, 250001</v>
      </c>
      <c r="T109" s="23">
        <f t="shared" ca="1" si="18"/>
        <v>40</v>
      </c>
      <c r="U109" s="33" t="str">
        <f t="shared" ca="1" si="19"/>
        <v>0</v>
      </c>
      <c r="V109" s="29">
        <f t="shared" ca="1" si="20"/>
        <v>360</v>
      </c>
      <c r="W109" s="29">
        <f t="shared" ca="1" si="21"/>
        <v>360</v>
      </c>
      <c r="X109" s="23" t="s">
        <v>714</v>
      </c>
      <c r="Y109" s="40">
        <v>0.40625</v>
      </c>
      <c r="Z109" s="23"/>
      <c r="AA109" s="23"/>
      <c r="AB109" s="23"/>
      <c r="AC109" s="24"/>
    </row>
    <row r="110" spans="2:29" x14ac:dyDescent="0.35">
      <c r="G110" s="12">
        <f t="shared" si="23"/>
        <v>107</v>
      </c>
      <c r="H110" s="11" t="s">
        <v>212</v>
      </c>
      <c r="I110" s="11" t="s">
        <v>398</v>
      </c>
      <c r="J110" s="13" t="s">
        <v>585</v>
      </c>
      <c r="L110" s="21">
        <v>107</v>
      </c>
      <c r="M110" s="22">
        <v>44927</v>
      </c>
      <c r="N110" s="23"/>
      <c r="O110" s="23">
        <f t="shared" ca="1" si="13"/>
        <v>64</v>
      </c>
      <c r="P110" s="23">
        <f t="shared" ca="1" si="14"/>
        <v>155</v>
      </c>
      <c r="Q110" s="23">
        <f t="shared" ca="1" si="15"/>
        <v>110</v>
      </c>
      <c r="R110" s="23">
        <f t="shared" ca="1" si="16"/>
        <v>2</v>
      </c>
      <c r="S110" s="23" t="str">
        <f t="shared" ca="1" si="17"/>
        <v>45/EY, Yarrow Lane, Guntur, 522001</v>
      </c>
      <c r="T110" s="23">
        <f t="shared" ca="1" si="18"/>
        <v>120</v>
      </c>
      <c r="U110" s="33" t="str">
        <f t="shared" ca="1" si="19"/>
        <v>5%</v>
      </c>
      <c r="V110" s="29">
        <f t="shared" ca="1" si="20"/>
        <v>240</v>
      </c>
      <c r="W110" s="29">
        <f t="shared" ca="1" si="21"/>
        <v>228</v>
      </c>
      <c r="X110" s="23" t="s">
        <v>714</v>
      </c>
      <c r="Y110" s="40">
        <v>0.40694444444444444</v>
      </c>
      <c r="Z110" s="23"/>
      <c r="AA110" s="23"/>
      <c r="AB110" s="23"/>
      <c r="AC110" s="24"/>
    </row>
    <row r="111" spans="2:29" x14ac:dyDescent="0.35">
      <c r="G111" s="12">
        <f t="shared" si="23"/>
        <v>108</v>
      </c>
      <c r="H111" s="11" t="s">
        <v>213</v>
      </c>
      <c r="I111" s="11" t="s">
        <v>399</v>
      </c>
      <c r="J111" s="13" t="s">
        <v>586</v>
      </c>
      <c r="L111" s="21">
        <v>108</v>
      </c>
      <c r="M111" s="22">
        <v>44927</v>
      </c>
      <c r="N111" s="23"/>
      <c r="O111" s="23">
        <f t="shared" ca="1" si="13"/>
        <v>66</v>
      </c>
      <c r="P111" s="23">
        <f t="shared" ca="1" si="14"/>
        <v>66</v>
      </c>
      <c r="Q111" s="23">
        <f t="shared" ca="1" si="15"/>
        <v>141</v>
      </c>
      <c r="R111" s="23">
        <f t="shared" ca="1" si="16"/>
        <v>10</v>
      </c>
      <c r="S111" s="23" t="str">
        <f t="shared" ca="1" si="17"/>
        <v>78/BN, Nasturtium Avenue, Tirupati, 517501</v>
      </c>
      <c r="T111" s="23">
        <f t="shared" ca="1" si="18"/>
        <v>80</v>
      </c>
      <c r="U111" s="33" t="str">
        <f t="shared" ca="1" si="19"/>
        <v>0</v>
      </c>
      <c r="V111" s="29">
        <f t="shared" ca="1" si="20"/>
        <v>800</v>
      </c>
      <c r="W111" s="29">
        <f t="shared" ca="1" si="21"/>
        <v>800</v>
      </c>
      <c r="X111" s="23" t="s">
        <v>714</v>
      </c>
      <c r="Y111" s="40">
        <v>0.40763888888888888</v>
      </c>
      <c r="Z111" s="23"/>
      <c r="AA111" s="23"/>
      <c r="AB111" s="23"/>
      <c r="AC111" s="24"/>
    </row>
    <row r="112" spans="2:29" x14ac:dyDescent="0.35">
      <c r="G112" s="12">
        <f t="shared" si="23"/>
        <v>109</v>
      </c>
      <c r="H112" s="11" t="s">
        <v>214</v>
      </c>
      <c r="I112" s="11" t="s">
        <v>400</v>
      </c>
      <c r="J112" s="13" t="s">
        <v>587</v>
      </c>
      <c r="L112" s="21">
        <v>109</v>
      </c>
      <c r="M112" s="22">
        <v>44927</v>
      </c>
      <c r="N112" s="23"/>
      <c r="O112" s="23">
        <f t="shared" ca="1" si="13"/>
        <v>13</v>
      </c>
      <c r="P112" s="23">
        <f t="shared" ca="1" si="14"/>
        <v>123</v>
      </c>
      <c r="Q112" s="23">
        <f t="shared" ca="1" si="15"/>
        <v>150</v>
      </c>
      <c r="R112" s="23">
        <f t="shared" ca="1" si="16"/>
        <v>9</v>
      </c>
      <c r="S112" s="23" t="str">
        <f t="shared" ca="1" si="17"/>
        <v>45/DS, Sunflower Street, Begusarai, 851101</v>
      </c>
      <c r="T112" s="23">
        <f t="shared" ca="1" si="18"/>
        <v>200</v>
      </c>
      <c r="U112" s="33" t="str">
        <f t="shared" ca="1" si="19"/>
        <v>20%</v>
      </c>
      <c r="V112" s="29">
        <f t="shared" ca="1" si="20"/>
        <v>1800</v>
      </c>
      <c r="W112" s="29">
        <f t="shared" ca="1" si="21"/>
        <v>1440</v>
      </c>
      <c r="X112" s="23" t="s">
        <v>714</v>
      </c>
      <c r="Y112" s="40">
        <v>0.40833333333333333</v>
      </c>
      <c r="Z112" s="23"/>
      <c r="AA112" s="23"/>
      <c r="AB112" s="23"/>
      <c r="AC112" s="24"/>
    </row>
    <row r="113" spans="7:29" x14ac:dyDescent="0.35">
      <c r="G113" s="12">
        <f t="shared" si="23"/>
        <v>110</v>
      </c>
      <c r="H113" s="11" t="s">
        <v>215</v>
      </c>
      <c r="I113" s="11" t="s">
        <v>401</v>
      </c>
      <c r="J113" s="13" t="s">
        <v>588</v>
      </c>
      <c r="L113" s="21">
        <v>110</v>
      </c>
      <c r="M113" s="22">
        <v>44927</v>
      </c>
      <c r="N113" s="23"/>
      <c r="O113" s="23">
        <f t="shared" ca="1" si="13"/>
        <v>67</v>
      </c>
      <c r="P113" s="23">
        <f t="shared" ca="1" si="14"/>
        <v>45</v>
      </c>
      <c r="Q113" s="23">
        <f t="shared" ca="1" si="15"/>
        <v>149</v>
      </c>
      <c r="R113" s="23">
        <f t="shared" ca="1" si="16"/>
        <v>8</v>
      </c>
      <c r="S113" s="23" t="str">
        <f t="shared" ca="1" si="17"/>
        <v>23/AS, Sunflower Road, Udaipur, 313001</v>
      </c>
      <c r="T113" s="23">
        <f t="shared" ca="1" si="18"/>
        <v>100</v>
      </c>
      <c r="U113" s="33" t="str">
        <f t="shared" ca="1" si="19"/>
        <v>5%</v>
      </c>
      <c r="V113" s="29">
        <f t="shared" ca="1" si="20"/>
        <v>800</v>
      </c>
      <c r="W113" s="29">
        <f t="shared" ca="1" si="21"/>
        <v>760</v>
      </c>
      <c r="X113" s="23" t="s">
        <v>714</v>
      </c>
      <c r="Y113" s="40">
        <v>0.40902777777777777</v>
      </c>
      <c r="Z113" s="23"/>
      <c r="AA113" s="23"/>
      <c r="AB113" s="23"/>
      <c r="AC113" s="24"/>
    </row>
    <row r="114" spans="7:29" x14ac:dyDescent="0.35">
      <c r="G114" s="12">
        <f t="shared" si="23"/>
        <v>111</v>
      </c>
      <c r="H114" s="11" t="s">
        <v>216</v>
      </c>
      <c r="I114" s="11" t="s">
        <v>402</v>
      </c>
      <c r="J114" s="13" t="s">
        <v>589</v>
      </c>
      <c r="L114" s="21">
        <v>111</v>
      </c>
      <c r="M114" s="22">
        <v>44927</v>
      </c>
      <c r="N114" s="23"/>
      <c r="O114" s="23">
        <f t="shared" ca="1" si="13"/>
        <v>20</v>
      </c>
      <c r="P114" s="23">
        <f t="shared" ca="1" si="14"/>
        <v>177</v>
      </c>
      <c r="Q114" s="23">
        <f t="shared" ca="1" si="15"/>
        <v>169</v>
      </c>
      <c r="R114" s="23">
        <f t="shared" ca="1" si="16"/>
        <v>1</v>
      </c>
      <c r="S114" s="23" t="str">
        <f t="shared" ca="1" si="17"/>
        <v>89/FU, Utopia Street, Jodhpur, 342001</v>
      </c>
      <c r="T114" s="23">
        <f t="shared" ca="1" si="18"/>
        <v>140</v>
      </c>
      <c r="U114" s="33" t="str">
        <f t="shared" ca="1" si="19"/>
        <v>5%</v>
      </c>
      <c r="V114" s="29">
        <f t="shared" ca="1" si="20"/>
        <v>140</v>
      </c>
      <c r="W114" s="29">
        <f t="shared" ca="1" si="21"/>
        <v>133</v>
      </c>
      <c r="X114" s="23" t="s">
        <v>714</v>
      </c>
      <c r="Y114" s="40">
        <v>0.40972222222222221</v>
      </c>
      <c r="Z114" s="23"/>
      <c r="AA114" s="23"/>
      <c r="AB114" s="23"/>
      <c r="AC114" s="24"/>
    </row>
    <row r="115" spans="7:29" x14ac:dyDescent="0.35">
      <c r="G115" s="12">
        <f t="shared" si="23"/>
        <v>112</v>
      </c>
      <c r="H115" s="11" t="s">
        <v>217</v>
      </c>
      <c r="I115" s="11" t="s">
        <v>403</v>
      </c>
      <c r="J115" s="13" t="s">
        <v>590</v>
      </c>
      <c r="L115" s="21">
        <v>112</v>
      </c>
      <c r="M115" s="22">
        <v>44927</v>
      </c>
      <c r="N115" s="23"/>
      <c r="O115" s="23">
        <f t="shared" ca="1" si="13"/>
        <v>56</v>
      </c>
      <c r="P115" s="23">
        <f t="shared" ca="1" si="14"/>
        <v>163</v>
      </c>
      <c r="Q115" s="23">
        <f t="shared" ca="1" si="15"/>
        <v>163</v>
      </c>
      <c r="R115" s="23">
        <f t="shared" ca="1" si="16"/>
        <v>9</v>
      </c>
      <c r="S115" s="23" t="str">
        <f t="shared" ca="1" si="17"/>
        <v>45/FG, Gardenia Lane, Hosur, 635109</v>
      </c>
      <c r="T115" s="23">
        <f t="shared" ca="1" si="18"/>
        <v>180</v>
      </c>
      <c r="U115" s="33" t="str">
        <f t="shared" ca="1" si="19"/>
        <v>10%</v>
      </c>
      <c r="V115" s="29">
        <f t="shared" ca="1" si="20"/>
        <v>1620</v>
      </c>
      <c r="W115" s="29">
        <f t="shared" ca="1" si="21"/>
        <v>1458</v>
      </c>
      <c r="X115" s="23" t="s">
        <v>714</v>
      </c>
      <c r="Y115" s="40">
        <v>0.41041666666666665</v>
      </c>
      <c r="Z115" s="23"/>
      <c r="AA115" s="23"/>
      <c r="AB115" s="23"/>
      <c r="AC115" s="24"/>
    </row>
    <row r="116" spans="7:29" x14ac:dyDescent="0.35">
      <c r="G116" s="12">
        <f t="shared" si="23"/>
        <v>113</v>
      </c>
      <c r="H116" s="11" t="s">
        <v>218</v>
      </c>
      <c r="I116" s="11" t="s">
        <v>404</v>
      </c>
      <c r="J116" s="13" t="s">
        <v>591</v>
      </c>
      <c r="L116" s="21">
        <v>113</v>
      </c>
      <c r="M116" s="22">
        <v>44927</v>
      </c>
      <c r="N116" s="23"/>
      <c r="O116" s="23">
        <f t="shared" ca="1" si="13"/>
        <v>98</v>
      </c>
      <c r="P116" s="23">
        <f t="shared" ca="1" si="14"/>
        <v>131</v>
      </c>
      <c r="Q116" s="23">
        <f t="shared" ca="1" si="15"/>
        <v>134</v>
      </c>
      <c r="R116" s="23">
        <f t="shared" ca="1" si="16"/>
        <v>10</v>
      </c>
      <c r="S116" s="23" t="str">
        <f t="shared" ca="1" si="17"/>
        <v>45/EA, Acacia Street, Bongaigaon, 783380</v>
      </c>
      <c r="T116" s="23">
        <f t="shared" ca="1" si="18"/>
        <v>80</v>
      </c>
      <c r="U116" s="33" t="str">
        <f t="shared" ca="1" si="19"/>
        <v>0</v>
      </c>
      <c r="V116" s="29">
        <f t="shared" ca="1" si="20"/>
        <v>800</v>
      </c>
      <c r="W116" s="29">
        <f t="shared" ca="1" si="21"/>
        <v>800</v>
      </c>
      <c r="X116" s="23" t="s">
        <v>714</v>
      </c>
      <c r="Y116" s="40">
        <v>0.41111111111111109</v>
      </c>
      <c r="Z116" s="23"/>
      <c r="AA116" s="23"/>
      <c r="AB116" s="23"/>
      <c r="AC116" s="24"/>
    </row>
    <row r="117" spans="7:29" x14ac:dyDescent="0.35">
      <c r="G117" s="12">
        <f t="shared" si="23"/>
        <v>114</v>
      </c>
      <c r="H117" s="11" t="s">
        <v>219</v>
      </c>
      <c r="I117" s="11" t="s">
        <v>405</v>
      </c>
      <c r="J117" s="13" t="s">
        <v>592</v>
      </c>
      <c r="L117" s="21">
        <v>114</v>
      </c>
      <c r="M117" s="22">
        <v>44927</v>
      </c>
      <c r="N117" s="23"/>
      <c r="O117" s="23">
        <f t="shared" ca="1" si="13"/>
        <v>15</v>
      </c>
      <c r="P117" s="23">
        <f t="shared" ca="1" si="14"/>
        <v>42</v>
      </c>
      <c r="Q117" s="23">
        <f t="shared" ca="1" si="15"/>
        <v>154</v>
      </c>
      <c r="R117" s="23">
        <f t="shared" ca="1" si="16"/>
        <v>4</v>
      </c>
      <c r="S117" s="23" t="str">
        <f t="shared" ca="1" si="17"/>
        <v>78/AP, Petunia Lane, Puducherry, 605001</v>
      </c>
      <c r="T117" s="23">
        <f t="shared" ca="1" si="18"/>
        <v>150</v>
      </c>
      <c r="U117" s="33" t="str">
        <f t="shared" ca="1" si="19"/>
        <v>10%</v>
      </c>
      <c r="V117" s="29">
        <f t="shared" ca="1" si="20"/>
        <v>600</v>
      </c>
      <c r="W117" s="29">
        <f t="shared" ca="1" si="21"/>
        <v>540</v>
      </c>
      <c r="X117" s="23" t="s">
        <v>714</v>
      </c>
      <c r="Y117" s="40">
        <v>0.41180555555555554</v>
      </c>
      <c r="Z117" s="23"/>
      <c r="AA117" s="23"/>
      <c r="AB117" s="23"/>
      <c r="AC117" s="24"/>
    </row>
    <row r="118" spans="7:29" x14ac:dyDescent="0.35">
      <c r="G118" s="12">
        <f t="shared" si="23"/>
        <v>115</v>
      </c>
      <c r="H118" s="11" t="s">
        <v>220</v>
      </c>
      <c r="I118" s="11" t="s">
        <v>406</v>
      </c>
      <c r="J118" s="13" t="s">
        <v>593</v>
      </c>
      <c r="L118" s="21">
        <v>115</v>
      </c>
      <c r="M118" s="22">
        <v>44927</v>
      </c>
      <c r="N118" s="23"/>
      <c r="O118" s="23">
        <f t="shared" ca="1" si="13"/>
        <v>64</v>
      </c>
      <c r="P118" s="23">
        <f t="shared" ca="1" si="14"/>
        <v>157</v>
      </c>
      <c r="Q118" s="23">
        <f t="shared" ca="1" si="15"/>
        <v>130</v>
      </c>
      <c r="R118" s="23">
        <f t="shared" ca="1" si="16"/>
        <v>3</v>
      </c>
      <c r="S118" s="23" t="str">
        <f t="shared" ca="1" si="17"/>
        <v>23/FA, Azalea Street, Haldwani, 263139</v>
      </c>
      <c r="T118" s="23">
        <f t="shared" ca="1" si="18"/>
        <v>120</v>
      </c>
      <c r="U118" s="33" t="str">
        <f t="shared" ca="1" si="19"/>
        <v>5%</v>
      </c>
      <c r="V118" s="29">
        <f t="shared" ca="1" si="20"/>
        <v>360</v>
      </c>
      <c r="W118" s="29">
        <f t="shared" ca="1" si="21"/>
        <v>342</v>
      </c>
      <c r="X118" s="23" t="s">
        <v>714</v>
      </c>
      <c r="Y118" s="40">
        <v>0.41249999999999998</v>
      </c>
      <c r="Z118" s="23"/>
      <c r="AA118" s="23"/>
      <c r="AB118" s="23"/>
      <c r="AC118" s="24"/>
    </row>
    <row r="119" spans="7:29" x14ac:dyDescent="0.35">
      <c r="G119" s="12">
        <f t="shared" si="23"/>
        <v>116</v>
      </c>
      <c r="H119" s="11" t="s">
        <v>221</v>
      </c>
      <c r="I119" s="11" t="s">
        <v>407</v>
      </c>
      <c r="J119" s="13" t="s">
        <v>594</v>
      </c>
      <c r="L119" s="21">
        <v>116</v>
      </c>
      <c r="M119" s="22">
        <v>44927</v>
      </c>
      <c r="N119" s="23"/>
      <c r="O119" s="23">
        <f t="shared" ca="1" si="13"/>
        <v>18</v>
      </c>
      <c r="P119" s="23">
        <f t="shared" ca="1" si="14"/>
        <v>67</v>
      </c>
      <c r="Q119" s="23">
        <f t="shared" ca="1" si="15"/>
        <v>103</v>
      </c>
      <c r="R119" s="23">
        <f t="shared" ca="1" si="16"/>
        <v>1</v>
      </c>
      <c r="S119" s="23" t="str">
        <f t="shared" ca="1" si="17"/>
        <v>45/BO, Orchid Street, Vatakara, 673101</v>
      </c>
      <c r="T119" s="23">
        <f t="shared" ca="1" si="18"/>
        <v>170</v>
      </c>
      <c r="U119" s="33" t="str">
        <f t="shared" ca="1" si="19"/>
        <v>10%</v>
      </c>
      <c r="V119" s="29">
        <f t="shared" ca="1" si="20"/>
        <v>170</v>
      </c>
      <c r="W119" s="29">
        <f t="shared" ca="1" si="21"/>
        <v>153</v>
      </c>
      <c r="X119" s="23" t="s">
        <v>714</v>
      </c>
      <c r="Y119" s="40">
        <v>0.41319444444444442</v>
      </c>
      <c r="Z119" s="23"/>
      <c r="AA119" s="23"/>
      <c r="AB119" s="23"/>
      <c r="AC119" s="24"/>
    </row>
    <row r="120" spans="7:29" x14ac:dyDescent="0.35">
      <c r="G120" s="12">
        <f t="shared" si="23"/>
        <v>117</v>
      </c>
      <c r="H120" s="11" t="s">
        <v>222</v>
      </c>
      <c r="I120" s="11" t="s">
        <v>408</v>
      </c>
      <c r="J120" s="13" t="s">
        <v>595</v>
      </c>
      <c r="L120" s="21">
        <v>117</v>
      </c>
      <c r="M120" s="22">
        <v>44927</v>
      </c>
      <c r="N120" s="23"/>
      <c r="O120" s="23">
        <f t="shared" ca="1" si="13"/>
        <v>52</v>
      </c>
      <c r="P120" s="23">
        <f t="shared" ca="1" si="14"/>
        <v>139</v>
      </c>
      <c r="Q120" s="23">
        <f t="shared" ca="1" si="15"/>
        <v>123</v>
      </c>
      <c r="R120" s="23">
        <f t="shared" ca="1" si="16"/>
        <v>8</v>
      </c>
      <c r="S120" s="23" t="str">
        <f t="shared" ca="1" si="17"/>
        <v>45/EI, Ixora Lane, Dharmapuri, 636701</v>
      </c>
      <c r="T120" s="23">
        <f t="shared" ca="1" si="18"/>
        <v>150</v>
      </c>
      <c r="U120" s="33" t="str">
        <f t="shared" ca="1" si="19"/>
        <v>10%</v>
      </c>
      <c r="V120" s="29">
        <f t="shared" ca="1" si="20"/>
        <v>1200</v>
      </c>
      <c r="W120" s="29">
        <f t="shared" ca="1" si="21"/>
        <v>1080</v>
      </c>
      <c r="X120" s="23" t="s">
        <v>714</v>
      </c>
      <c r="Y120" s="40">
        <v>0.41388888888888886</v>
      </c>
      <c r="Z120" s="23"/>
      <c r="AA120" s="23"/>
      <c r="AB120" s="23"/>
      <c r="AC120" s="24"/>
    </row>
    <row r="121" spans="7:29" x14ac:dyDescent="0.35">
      <c r="G121" s="12">
        <f t="shared" si="23"/>
        <v>118</v>
      </c>
      <c r="H121" s="11" t="s">
        <v>223</v>
      </c>
      <c r="I121" s="11" t="s">
        <v>409</v>
      </c>
      <c r="J121" s="13" t="s">
        <v>596</v>
      </c>
      <c r="L121" s="21">
        <v>118</v>
      </c>
      <c r="M121" s="22">
        <v>44927</v>
      </c>
      <c r="N121" s="23"/>
      <c r="O121" s="23">
        <f t="shared" ca="1" si="13"/>
        <v>15</v>
      </c>
      <c r="P121" s="23">
        <f t="shared" ca="1" si="14"/>
        <v>150</v>
      </c>
      <c r="Q121" s="23">
        <f t="shared" ca="1" si="15"/>
        <v>103</v>
      </c>
      <c r="R121" s="23">
        <f t="shared" ca="1" si="16"/>
        <v>10</v>
      </c>
      <c r="S121" s="23" t="str">
        <f t="shared" ca="1" si="17"/>
        <v>67/ET, Tulip Avenue, Giridih, 815301</v>
      </c>
      <c r="T121" s="23">
        <f t="shared" ca="1" si="18"/>
        <v>150</v>
      </c>
      <c r="U121" s="33" t="str">
        <f t="shared" ca="1" si="19"/>
        <v>10%</v>
      </c>
      <c r="V121" s="29">
        <f t="shared" ca="1" si="20"/>
        <v>1500</v>
      </c>
      <c r="W121" s="29">
        <f t="shared" ca="1" si="21"/>
        <v>1350</v>
      </c>
      <c r="X121" s="23" t="s">
        <v>714</v>
      </c>
      <c r="Y121" s="40">
        <v>0.41458333333333336</v>
      </c>
      <c r="Z121" s="23"/>
      <c r="AA121" s="23"/>
      <c r="AB121" s="23"/>
      <c r="AC121" s="24"/>
    </row>
    <row r="122" spans="7:29" x14ac:dyDescent="0.35">
      <c r="G122" s="12">
        <f t="shared" si="23"/>
        <v>119</v>
      </c>
      <c r="H122" s="11" t="s">
        <v>224</v>
      </c>
      <c r="I122" s="11" t="s">
        <v>410</v>
      </c>
      <c r="J122" s="13" t="s">
        <v>597</v>
      </c>
      <c r="L122" s="21">
        <v>119</v>
      </c>
      <c r="M122" s="22">
        <v>44927</v>
      </c>
      <c r="N122" s="23"/>
      <c r="O122" s="23">
        <f t="shared" ca="1" si="13"/>
        <v>75</v>
      </c>
      <c r="P122" s="23">
        <f t="shared" ca="1" si="14"/>
        <v>1</v>
      </c>
      <c r="Q122" s="23">
        <f t="shared" ca="1" si="15"/>
        <v>131</v>
      </c>
      <c r="R122" s="23">
        <f t="shared" ca="1" si="16"/>
        <v>2</v>
      </c>
      <c r="S122" s="23" t="str">
        <f t="shared" ca="1" si="17"/>
        <v>12/A, Green Avenue, New Delhi, 110001</v>
      </c>
      <c r="T122" s="23">
        <f t="shared" ca="1" si="18"/>
        <v>90</v>
      </c>
      <c r="U122" s="33" t="str">
        <f t="shared" ca="1" si="19"/>
        <v>0</v>
      </c>
      <c r="V122" s="29">
        <f t="shared" ca="1" si="20"/>
        <v>180</v>
      </c>
      <c r="W122" s="29">
        <f t="shared" ca="1" si="21"/>
        <v>180</v>
      </c>
      <c r="X122" s="23" t="s">
        <v>713</v>
      </c>
      <c r="Y122" s="40">
        <v>0.4152777777777778</v>
      </c>
      <c r="Z122" s="23"/>
      <c r="AA122" s="23"/>
      <c r="AB122" s="23"/>
      <c r="AC122" s="24"/>
    </row>
    <row r="123" spans="7:29" x14ac:dyDescent="0.35">
      <c r="G123" s="12">
        <f t="shared" si="23"/>
        <v>120</v>
      </c>
      <c r="H123" s="11" t="s">
        <v>225</v>
      </c>
      <c r="I123" s="11" t="s">
        <v>411</v>
      </c>
      <c r="J123" s="13" t="s">
        <v>598</v>
      </c>
      <c r="L123" s="21">
        <v>120</v>
      </c>
      <c r="M123" s="22">
        <v>44927</v>
      </c>
      <c r="N123" s="23"/>
      <c r="O123" s="23">
        <f t="shared" ca="1" si="13"/>
        <v>47</v>
      </c>
      <c r="P123" s="23">
        <f t="shared" ca="1" si="14"/>
        <v>136</v>
      </c>
      <c r="Q123" s="23">
        <f t="shared" ca="1" si="15"/>
        <v>117</v>
      </c>
      <c r="R123" s="23">
        <f t="shared" ca="1" si="16"/>
        <v>10</v>
      </c>
      <c r="S123" s="23" t="str">
        <f t="shared" ca="1" si="17"/>
        <v>78/EF, Frangipani Lane, Cuttack, 753001</v>
      </c>
      <c r="T123" s="23">
        <f t="shared" ca="1" si="18"/>
        <v>30</v>
      </c>
      <c r="U123" s="33" t="str">
        <f t="shared" ca="1" si="19"/>
        <v>0</v>
      </c>
      <c r="V123" s="29">
        <f t="shared" ca="1" si="20"/>
        <v>300</v>
      </c>
      <c r="W123" s="29">
        <f t="shared" ca="1" si="21"/>
        <v>300</v>
      </c>
      <c r="X123" s="23" t="s">
        <v>713</v>
      </c>
      <c r="Y123" s="40">
        <v>0.41597222222222224</v>
      </c>
      <c r="Z123" s="23"/>
      <c r="AA123" s="23"/>
      <c r="AB123" s="23"/>
      <c r="AC123" s="24"/>
    </row>
    <row r="124" spans="7:29" x14ac:dyDescent="0.35">
      <c r="G124" s="12">
        <f t="shared" si="23"/>
        <v>121</v>
      </c>
      <c r="H124" s="11" t="s">
        <v>226</v>
      </c>
      <c r="I124" s="11" t="s">
        <v>412</v>
      </c>
      <c r="J124" s="13" t="s">
        <v>599</v>
      </c>
      <c r="L124" s="21">
        <v>121</v>
      </c>
      <c r="M124" s="22">
        <v>44927</v>
      </c>
      <c r="N124" s="23"/>
      <c r="O124" s="23">
        <f t="shared" ca="1" si="13"/>
        <v>81</v>
      </c>
      <c r="P124" s="23">
        <f t="shared" ca="1" si="14"/>
        <v>114</v>
      </c>
      <c r="Q124" s="23">
        <f t="shared" ca="1" si="15"/>
        <v>128</v>
      </c>
      <c r="R124" s="23">
        <f t="shared" ca="1" si="16"/>
        <v>9</v>
      </c>
      <c r="S124" s="23" t="str">
        <f t="shared" ca="1" si="17"/>
        <v>78/DJ, Jasmine Street, Amravati, 444601</v>
      </c>
      <c r="T124" s="23">
        <f t="shared" ca="1" si="18"/>
        <v>40</v>
      </c>
      <c r="U124" s="33" t="str">
        <f t="shared" ca="1" si="19"/>
        <v>0</v>
      </c>
      <c r="V124" s="29">
        <f t="shared" ca="1" si="20"/>
        <v>360</v>
      </c>
      <c r="W124" s="29">
        <f t="shared" ca="1" si="21"/>
        <v>360</v>
      </c>
      <c r="X124" s="23" t="s">
        <v>713</v>
      </c>
      <c r="Y124" s="40">
        <v>0.41666666666666669</v>
      </c>
      <c r="Z124" s="23"/>
      <c r="AA124" s="23"/>
      <c r="AB124" s="23"/>
      <c r="AC124" s="24"/>
    </row>
    <row r="125" spans="7:29" x14ac:dyDescent="0.35">
      <c r="G125" s="12">
        <f t="shared" si="23"/>
        <v>122</v>
      </c>
      <c r="H125" s="11" t="s">
        <v>227</v>
      </c>
      <c r="I125" s="11" t="s">
        <v>413</v>
      </c>
      <c r="J125" s="13" t="s">
        <v>600</v>
      </c>
      <c r="L125" s="21">
        <v>122</v>
      </c>
      <c r="M125" s="22">
        <v>44927</v>
      </c>
      <c r="N125" s="23"/>
      <c r="O125" s="23">
        <f t="shared" ca="1" si="13"/>
        <v>4</v>
      </c>
      <c r="P125" s="23">
        <f t="shared" ca="1" si="14"/>
        <v>57</v>
      </c>
      <c r="Q125" s="23">
        <f t="shared" ca="1" si="15"/>
        <v>109</v>
      </c>
      <c r="R125" s="23">
        <f t="shared" ca="1" si="16"/>
        <v>5</v>
      </c>
      <c r="S125" s="23" t="str">
        <f t="shared" ca="1" si="17"/>
        <v>89/BE, Ebony Lane, Jalandhar, 144001</v>
      </c>
      <c r="T125" s="23">
        <f t="shared" ca="1" si="18"/>
        <v>200</v>
      </c>
      <c r="U125" s="33" t="str">
        <f t="shared" ca="1" si="19"/>
        <v>20%</v>
      </c>
      <c r="V125" s="29">
        <f t="shared" ca="1" si="20"/>
        <v>1000</v>
      </c>
      <c r="W125" s="29">
        <f t="shared" ca="1" si="21"/>
        <v>800</v>
      </c>
      <c r="X125" s="23" t="s">
        <v>713</v>
      </c>
      <c r="Y125" s="40">
        <v>0.41736111111111113</v>
      </c>
      <c r="Z125" s="23"/>
      <c r="AA125" s="23"/>
      <c r="AB125" s="23"/>
      <c r="AC125" s="24"/>
    </row>
    <row r="126" spans="7:29" x14ac:dyDescent="0.35">
      <c r="G126" s="12">
        <f t="shared" si="23"/>
        <v>123</v>
      </c>
      <c r="H126" s="11" t="s">
        <v>228</v>
      </c>
      <c r="I126" s="11" t="s">
        <v>414</v>
      </c>
      <c r="J126" s="13" t="s">
        <v>601</v>
      </c>
      <c r="L126" s="21">
        <v>123</v>
      </c>
      <c r="M126" s="22">
        <v>44927</v>
      </c>
      <c r="N126" s="23"/>
      <c r="O126" s="23">
        <f t="shared" ca="1" si="13"/>
        <v>86</v>
      </c>
      <c r="P126" s="23">
        <f t="shared" ca="1" si="14"/>
        <v>121</v>
      </c>
      <c r="Q126" s="23">
        <f t="shared" ca="1" si="15"/>
        <v>106</v>
      </c>
      <c r="R126" s="23">
        <f t="shared" ca="1" si="16"/>
        <v>8</v>
      </c>
      <c r="S126" s="23" t="str">
        <f t="shared" ca="1" si="17"/>
        <v>89/DQ, Quince Road, Bardhaman, 713101</v>
      </c>
      <c r="T126" s="23">
        <f t="shared" ca="1" si="18"/>
        <v>40</v>
      </c>
      <c r="U126" s="33" t="str">
        <f t="shared" ca="1" si="19"/>
        <v>0</v>
      </c>
      <c r="V126" s="29">
        <f t="shared" ca="1" si="20"/>
        <v>320</v>
      </c>
      <c r="W126" s="29">
        <f t="shared" ca="1" si="21"/>
        <v>320</v>
      </c>
      <c r="X126" s="23" t="s">
        <v>713</v>
      </c>
      <c r="Y126" s="40">
        <v>0.41805555555555557</v>
      </c>
      <c r="Z126" s="23"/>
      <c r="AA126" s="23"/>
      <c r="AB126" s="23"/>
      <c r="AC126" s="24"/>
    </row>
    <row r="127" spans="7:29" x14ac:dyDescent="0.35">
      <c r="G127" s="12">
        <f t="shared" si="23"/>
        <v>124</v>
      </c>
      <c r="H127" s="11" t="s">
        <v>229</v>
      </c>
      <c r="I127" s="11" t="s">
        <v>415</v>
      </c>
      <c r="J127" s="13" t="s">
        <v>602</v>
      </c>
      <c r="L127" s="21">
        <v>124</v>
      </c>
      <c r="M127" s="22">
        <v>44927</v>
      </c>
      <c r="N127" s="23"/>
      <c r="O127" s="23">
        <f t="shared" ca="1" si="13"/>
        <v>84</v>
      </c>
      <c r="P127" s="23">
        <f t="shared" ca="1" si="14"/>
        <v>153</v>
      </c>
      <c r="Q127" s="23">
        <f t="shared" ca="1" si="15"/>
        <v>123</v>
      </c>
      <c r="R127" s="23">
        <f t="shared" ca="1" si="16"/>
        <v>10</v>
      </c>
      <c r="S127" s="23" t="str">
        <f t="shared" ca="1" si="17"/>
        <v>89/EW, Water Lily Lane, Guna, 473001</v>
      </c>
      <c r="T127" s="23">
        <f t="shared" ca="1" si="18"/>
        <v>40</v>
      </c>
      <c r="U127" s="33" t="str">
        <f t="shared" ca="1" si="19"/>
        <v>0</v>
      </c>
      <c r="V127" s="29">
        <f t="shared" ca="1" si="20"/>
        <v>400</v>
      </c>
      <c r="W127" s="29">
        <f t="shared" ca="1" si="21"/>
        <v>400</v>
      </c>
      <c r="X127" s="23" t="s">
        <v>713</v>
      </c>
      <c r="Y127" s="40">
        <v>0.41875000000000001</v>
      </c>
      <c r="Z127" s="23"/>
      <c r="AA127" s="23"/>
      <c r="AB127" s="23"/>
      <c r="AC127" s="24"/>
    </row>
    <row r="128" spans="7:29" x14ac:dyDescent="0.35">
      <c r="G128" s="12">
        <f t="shared" si="23"/>
        <v>125</v>
      </c>
      <c r="H128" s="11" t="s">
        <v>230</v>
      </c>
      <c r="I128" s="11" t="s">
        <v>416</v>
      </c>
      <c r="J128" s="13" t="s">
        <v>603</v>
      </c>
      <c r="L128" s="21">
        <v>125</v>
      </c>
      <c r="M128" s="22">
        <v>44927</v>
      </c>
      <c r="N128" s="23"/>
      <c r="O128" s="23">
        <f t="shared" ca="1" si="13"/>
        <v>72</v>
      </c>
      <c r="P128" s="23">
        <f t="shared" ca="1" si="14"/>
        <v>69</v>
      </c>
      <c r="Q128" s="23">
        <f t="shared" ca="1" si="15"/>
        <v>117</v>
      </c>
      <c r="R128" s="23">
        <f t="shared" ca="1" si="16"/>
        <v>1</v>
      </c>
      <c r="S128" s="23" t="str">
        <f t="shared" ca="1" si="17"/>
        <v>23/BQ, Quince Road, Nadiad, 387001</v>
      </c>
      <c r="T128" s="23">
        <f t="shared" ca="1" si="18"/>
        <v>80</v>
      </c>
      <c r="U128" s="33" t="str">
        <f t="shared" ca="1" si="19"/>
        <v>0</v>
      </c>
      <c r="V128" s="29">
        <f t="shared" ca="1" si="20"/>
        <v>80</v>
      </c>
      <c r="W128" s="29">
        <f t="shared" ca="1" si="21"/>
        <v>80</v>
      </c>
      <c r="X128" s="23" t="s">
        <v>713</v>
      </c>
      <c r="Y128" s="40">
        <v>0.41944444444444445</v>
      </c>
      <c r="Z128" s="23"/>
      <c r="AA128" s="23"/>
      <c r="AB128" s="23"/>
      <c r="AC128" s="24"/>
    </row>
    <row r="129" spans="7:29" x14ac:dyDescent="0.35">
      <c r="G129" s="12">
        <f t="shared" si="23"/>
        <v>126</v>
      </c>
      <c r="H129" s="11" t="s">
        <v>231</v>
      </c>
      <c r="I129" s="11" t="s">
        <v>417</v>
      </c>
      <c r="J129" s="13" t="s">
        <v>604</v>
      </c>
      <c r="L129" s="21">
        <v>126</v>
      </c>
      <c r="M129" s="22">
        <v>44927</v>
      </c>
      <c r="N129" s="23"/>
      <c r="O129" s="23">
        <f t="shared" ca="1" si="13"/>
        <v>61</v>
      </c>
      <c r="P129" s="23">
        <f t="shared" ca="1" si="14"/>
        <v>118</v>
      </c>
      <c r="Q129" s="23">
        <f t="shared" ca="1" si="15"/>
        <v>139</v>
      </c>
      <c r="R129" s="23">
        <f t="shared" ca="1" si="16"/>
        <v>5</v>
      </c>
      <c r="S129" s="23" t="str">
        <f t="shared" ca="1" si="17"/>
        <v>67/DN, Narcissus Road, Arrah, 802301</v>
      </c>
      <c r="T129" s="23">
        <f t="shared" ca="1" si="18"/>
        <v>80</v>
      </c>
      <c r="U129" s="33" t="str">
        <f t="shared" ca="1" si="19"/>
        <v>0</v>
      </c>
      <c r="V129" s="29">
        <f t="shared" ca="1" si="20"/>
        <v>400</v>
      </c>
      <c r="W129" s="29">
        <f t="shared" ca="1" si="21"/>
        <v>400</v>
      </c>
      <c r="X129" s="23" t="s">
        <v>714</v>
      </c>
      <c r="Y129" s="40">
        <v>0.4201388888888889</v>
      </c>
      <c r="Z129" s="23"/>
      <c r="AA129" s="23"/>
      <c r="AB129" s="23"/>
      <c r="AC129" s="24"/>
    </row>
    <row r="130" spans="7:29" x14ac:dyDescent="0.35">
      <c r="G130" s="12">
        <f t="shared" si="23"/>
        <v>127</v>
      </c>
      <c r="H130" s="11" t="s">
        <v>232</v>
      </c>
      <c r="I130" s="11" t="s">
        <v>418</v>
      </c>
      <c r="J130" s="13" t="s">
        <v>605</v>
      </c>
      <c r="L130" s="21">
        <v>127</v>
      </c>
      <c r="M130" s="22">
        <v>44927</v>
      </c>
      <c r="N130" s="23"/>
      <c r="O130" s="23">
        <f t="shared" ca="1" si="13"/>
        <v>47</v>
      </c>
      <c r="P130" s="23">
        <f t="shared" ca="1" si="14"/>
        <v>34</v>
      </c>
      <c r="Q130" s="23">
        <f t="shared" ca="1" si="15"/>
        <v>169</v>
      </c>
      <c r="R130" s="23">
        <f t="shared" ca="1" si="16"/>
        <v>3</v>
      </c>
      <c r="S130" s="23" t="str">
        <f t="shared" ca="1" si="17"/>
        <v>78/AH, Hibiscus Road, Dehradun, 248001</v>
      </c>
      <c r="T130" s="23">
        <f t="shared" ca="1" si="18"/>
        <v>30</v>
      </c>
      <c r="U130" s="33" t="str">
        <f t="shared" ca="1" si="19"/>
        <v>0</v>
      </c>
      <c r="V130" s="29">
        <f t="shared" ca="1" si="20"/>
        <v>90</v>
      </c>
      <c r="W130" s="29">
        <f t="shared" ca="1" si="21"/>
        <v>90</v>
      </c>
      <c r="X130" s="23" t="s">
        <v>714</v>
      </c>
      <c r="Y130" s="40">
        <v>0.42083333333333334</v>
      </c>
      <c r="Z130" s="23"/>
      <c r="AA130" s="23"/>
      <c r="AB130" s="23"/>
      <c r="AC130" s="24"/>
    </row>
    <row r="131" spans="7:29" x14ac:dyDescent="0.35">
      <c r="G131" s="12">
        <f t="shared" si="23"/>
        <v>128</v>
      </c>
      <c r="H131" s="11" t="s">
        <v>233</v>
      </c>
      <c r="I131" s="11" t="s">
        <v>419</v>
      </c>
      <c r="J131" s="13" t="s">
        <v>606</v>
      </c>
      <c r="L131" s="21">
        <v>128</v>
      </c>
      <c r="M131" s="22">
        <v>44927</v>
      </c>
      <c r="N131" s="23"/>
      <c r="O131" s="23">
        <f t="shared" ca="1" si="13"/>
        <v>46</v>
      </c>
      <c r="P131" s="23">
        <f t="shared" ca="1" si="14"/>
        <v>89</v>
      </c>
      <c r="Q131" s="23">
        <f t="shared" ca="1" si="15"/>
        <v>114</v>
      </c>
      <c r="R131" s="23">
        <f t="shared" ca="1" si="16"/>
        <v>3</v>
      </c>
      <c r="S131" s="23" t="str">
        <f t="shared" ca="1" si="17"/>
        <v>89/CK, Kale Street, Shillong, 793001</v>
      </c>
      <c r="T131" s="23">
        <f t="shared" ca="1" si="18"/>
        <v>40</v>
      </c>
      <c r="U131" s="33" t="str">
        <f t="shared" ca="1" si="19"/>
        <v>0</v>
      </c>
      <c r="V131" s="29">
        <f t="shared" ca="1" si="20"/>
        <v>120</v>
      </c>
      <c r="W131" s="29">
        <f t="shared" ca="1" si="21"/>
        <v>120</v>
      </c>
      <c r="X131" s="23" t="s">
        <v>714</v>
      </c>
      <c r="Y131" s="40">
        <v>0.42152777777777778</v>
      </c>
      <c r="Z131" s="23"/>
      <c r="AA131" s="23"/>
      <c r="AB131" s="23"/>
      <c r="AC131" s="24"/>
    </row>
    <row r="132" spans="7:29" x14ac:dyDescent="0.35">
      <c r="G132" s="12">
        <f t="shared" si="23"/>
        <v>129</v>
      </c>
      <c r="H132" s="11" t="s">
        <v>234</v>
      </c>
      <c r="I132" s="11" t="s">
        <v>420</v>
      </c>
      <c r="J132" s="13" t="s">
        <v>607</v>
      </c>
      <c r="L132" s="21">
        <v>129</v>
      </c>
      <c r="M132" s="22">
        <v>44927</v>
      </c>
      <c r="N132" s="23"/>
      <c r="O132" s="23">
        <f t="shared" ca="1" si="13"/>
        <v>55</v>
      </c>
      <c r="P132" s="23">
        <f t="shared" ca="1" si="14"/>
        <v>184</v>
      </c>
      <c r="Q132" s="23">
        <f t="shared" ca="1" si="15"/>
        <v>110</v>
      </c>
      <c r="R132" s="23">
        <f t="shared" ca="1" si="16"/>
        <v>7</v>
      </c>
      <c r="S132" s="23" t="str">
        <f t="shared" ca="1" si="17"/>
        <v>78/GB, Bluebell Lane, Kharagpur, 721301</v>
      </c>
      <c r="T132" s="23">
        <f t="shared" ca="1" si="18"/>
        <v>140</v>
      </c>
      <c r="U132" s="33" t="str">
        <f t="shared" ca="1" si="19"/>
        <v>5%</v>
      </c>
      <c r="V132" s="29">
        <f t="shared" ca="1" si="20"/>
        <v>980</v>
      </c>
      <c r="W132" s="29">
        <f t="shared" ca="1" si="21"/>
        <v>931</v>
      </c>
      <c r="X132" s="23" t="s">
        <v>714</v>
      </c>
      <c r="Y132" s="40">
        <v>0.42222222222222222</v>
      </c>
      <c r="Z132" s="23"/>
      <c r="AA132" s="23"/>
      <c r="AB132" s="23"/>
      <c r="AC132" s="24"/>
    </row>
    <row r="133" spans="7:29" x14ac:dyDescent="0.35">
      <c r="G133" s="12">
        <f t="shared" si="23"/>
        <v>130</v>
      </c>
      <c r="H133" s="11" t="s">
        <v>235</v>
      </c>
      <c r="I133" s="11" t="s">
        <v>421</v>
      </c>
      <c r="J133" s="13" t="s">
        <v>608</v>
      </c>
      <c r="L133" s="21">
        <v>130</v>
      </c>
      <c r="M133" s="22">
        <v>44927</v>
      </c>
      <c r="N133" s="23"/>
      <c r="O133" s="23">
        <f t="shared" ref="O133:O196" ca="1" si="24">RANDBETWEEN(1,100)</f>
        <v>99</v>
      </c>
      <c r="P133" s="23">
        <f t="shared" ref="P133:P196" ca="1" si="25">RANDBETWEEN(1,187)</f>
        <v>138</v>
      </c>
      <c r="Q133" s="23">
        <f t="shared" ref="Q133:Q196" ca="1" si="26">RANDBETWEEN(100,170)</f>
        <v>137</v>
      </c>
      <c r="R133" s="23">
        <f t="shared" ref="R133:R196" ca="1" si="27">RANDBETWEEN(1,10)</f>
        <v>2</v>
      </c>
      <c r="S133" s="23" t="str">
        <f t="shared" ref="S133:S196" ca="1" si="28">VLOOKUP($P133,$G$3:$J$190,4,0)</f>
        <v>78/EH, Hibiscus Street, Darbhanga, 846004</v>
      </c>
      <c r="T133" s="23">
        <f t="shared" ref="T133:T196" ca="1" si="29">VLOOKUP($O133,$B$3:$E$106,3,0)</f>
        <v>80</v>
      </c>
      <c r="U133" s="33" t="str">
        <f t="shared" ref="U133:U196" ca="1" si="30">VLOOKUP($O133,$B$3:$E$106,4,0)</f>
        <v>0</v>
      </c>
      <c r="V133" s="29">
        <f t="shared" ref="V133:V196" ca="1" si="31">$R133*$T133</f>
        <v>160</v>
      </c>
      <c r="W133" s="29">
        <f t="shared" ref="W133:W196" ca="1" si="32">V133-(V133*U133)</f>
        <v>160</v>
      </c>
      <c r="X133" s="23" t="s">
        <v>714</v>
      </c>
      <c r="Y133" s="40">
        <v>0.42291666666666666</v>
      </c>
      <c r="Z133" s="23"/>
      <c r="AA133" s="23"/>
      <c r="AB133" s="23"/>
      <c r="AC133" s="24"/>
    </row>
    <row r="134" spans="7:29" x14ac:dyDescent="0.35">
      <c r="G134" s="12">
        <f t="shared" ref="G134:G190" si="33">G133+1</f>
        <v>131</v>
      </c>
      <c r="H134" s="11" t="s">
        <v>236</v>
      </c>
      <c r="I134" s="11" t="s">
        <v>422</v>
      </c>
      <c r="J134" s="13" t="s">
        <v>609</v>
      </c>
      <c r="L134" s="21">
        <v>131</v>
      </c>
      <c r="M134" s="22">
        <v>44927</v>
      </c>
      <c r="N134" s="23"/>
      <c r="O134" s="23">
        <f t="shared" ca="1" si="24"/>
        <v>5</v>
      </c>
      <c r="P134" s="23">
        <f t="shared" ca="1" si="25"/>
        <v>28</v>
      </c>
      <c r="Q134" s="23">
        <f t="shared" ca="1" si="26"/>
        <v>113</v>
      </c>
      <c r="R134" s="23">
        <f t="shared" ca="1" si="27"/>
        <v>1</v>
      </c>
      <c r="S134" s="23" t="str">
        <f t="shared" ca="1" si="28"/>
        <v>56/AB, Bluebell Street, Kochi, 682001</v>
      </c>
      <c r="T134" s="23">
        <f t="shared" ca="1" si="29"/>
        <v>180</v>
      </c>
      <c r="U134" s="33" t="str">
        <f t="shared" ca="1" si="30"/>
        <v>10%</v>
      </c>
      <c r="V134" s="29">
        <f t="shared" ca="1" si="31"/>
        <v>180</v>
      </c>
      <c r="W134" s="29">
        <f t="shared" ca="1" si="32"/>
        <v>162</v>
      </c>
      <c r="X134" s="23" t="s">
        <v>714</v>
      </c>
      <c r="Y134" s="40">
        <v>0.4236111111111111</v>
      </c>
      <c r="Z134" s="23"/>
      <c r="AA134" s="23"/>
      <c r="AB134" s="23"/>
      <c r="AC134" s="24"/>
    </row>
    <row r="135" spans="7:29" x14ac:dyDescent="0.35">
      <c r="G135" s="12">
        <f t="shared" si="33"/>
        <v>132</v>
      </c>
      <c r="H135" s="11" t="s">
        <v>237</v>
      </c>
      <c r="I135" s="11" t="s">
        <v>423</v>
      </c>
      <c r="J135" s="13" t="s">
        <v>610</v>
      </c>
      <c r="L135" s="21">
        <v>132</v>
      </c>
      <c r="M135" s="22">
        <v>44927</v>
      </c>
      <c r="N135" s="23"/>
      <c r="O135" s="23">
        <f t="shared" ca="1" si="24"/>
        <v>33</v>
      </c>
      <c r="P135" s="23">
        <f t="shared" ca="1" si="25"/>
        <v>60</v>
      </c>
      <c r="Q135" s="23">
        <f t="shared" ca="1" si="26"/>
        <v>140</v>
      </c>
      <c r="R135" s="23">
        <f t="shared" ca="1" si="27"/>
        <v>2</v>
      </c>
      <c r="S135" s="23" t="str">
        <f t="shared" ca="1" si="28"/>
        <v>56/BH, Honeysuckle Street, Mysore, 570001</v>
      </c>
      <c r="T135" s="23">
        <f t="shared" ca="1" si="29"/>
        <v>250</v>
      </c>
      <c r="U135" s="33" t="str">
        <f t="shared" ca="1" si="30"/>
        <v>20%</v>
      </c>
      <c r="V135" s="29">
        <f t="shared" ca="1" si="31"/>
        <v>500</v>
      </c>
      <c r="W135" s="29">
        <f t="shared" ca="1" si="32"/>
        <v>400</v>
      </c>
      <c r="X135" s="23" t="s">
        <v>714</v>
      </c>
      <c r="Y135" s="40">
        <v>0.42430555555555555</v>
      </c>
      <c r="Z135" s="23"/>
      <c r="AA135" s="23"/>
      <c r="AB135" s="23"/>
      <c r="AC135" s="24"/>
    </row>
    <row r="136" spans="7:29" x14ac:dyDescent="0.35">
      <c r="G136" s="12">
        <f t="shared" si="33"/>
        <v>133</v>
      </c>
      <c r="H136" s="11" t="s">
        <v>238</v>
      </c>
      <c r="I136" s="11" t="s">
        <v>424</v>
      </c>
      <c r="J136" s="13" t="s">
        <v>611</v>
      </c>
      <c r="L136" s="21">
        <v>133</v>
      </c>
      <c r="M136" s="22">
        <v>44927</v>
      </c>
      <c r="N136" s="23"/>
      <c r="O136" s="23">
        <f t="shared" ca="1" si="24"/>
        <v>4</v>
      </c>
      <c r="P136" s="23">
        <f t="shared" ca="1" si="25"/>
        <v>186</v>
      </c>
      <c r="Q136" s="23">
        <f t="shared" ca="1" si="26"/>
        <v>139</v>
      </c>
      <c r="R136" s="23">
        <f t="shared" ca="1" si="27"/>
        <v>6</v>
      </c>
      <c r="S136" s="23" t="str">
        <f t="shared" ca="1" si="28"/>
        <v>78/GD, Dahlia Lane, Kottayam, 686001</v>
      </c>
      <c r="T136" s="23">
        <f t="shared" ca="1" si="29"/>
        <v>200</v>
      </c>
      <c r="U136" s="33" t="str">
        <f t="shared" ca="1" si="30"/>
        <v>20%</v>
      </c>
      <c r="V136" s="29">
        <f t="shared" ca="1" si="31"/>
        <v>1200</v>
      </c>
      <c r="W136" s="29">
        <f t="shared" ca="1" si="32"/>
        <v>960</v>
      </c>
      <c r="X136" s="23" t="s">
        <v>714</v>
      </c>
      <c r="Y136" s="40">
        <v>0.42499999999999999</v>
      </c>
      <c r="Z136" s="23"/>
      <c r="AA136" s="23"/>
      <c r="AB136" s="23"/>
      <c r="AC136" s="24"/>
    </row>
    <row r="137" spans="7:29" x14ac:dyDescent="0.35">
      <c r="G137" s="12">
        <f t="shared" si="33"/>
        <v>134</v>
      </c>
      <c r="H137" s="11" t="s">
        <v>239</v>
      </c>
      <c r="I137" s="11" t="s">
        <v>425</v>
      </c>
      <c r="J137" s="13" t="s">
        <v>612</v>
      </c>
      <c r="L137" s="21">
        <v>134</v>
      </c>
      <c r="M137" s="22">
        <v>44927</v>
      </c>
      <c r="N137" s="23"/>
      <c r="O137" s="23">
        <f t="shared" ca="1" si="24"/>
        <v>88</v>
      </c>
      <c r="P137" s="23">
        <f t="shared" ca="1" si="25"/>
        <v>138</v>
      </c>
      <c r="Q137" s="23">
        <f t="shared" ca="1" si="26"/>
        <v>167</v>
      </c>
      <c r="R137" s="23">
        <f t="shared" ca="1" si="27"/>
        <v>8</v>
      </c>
      <c r="S137" s="23" t="str">
        <f t="shared" ca="1" si="28"/>
        <v>78/EH, Hibiscus Street, Darbhanga, 846004</v>
      </c>
      <c r="T137" s="23">
        <f t="shared" ca="1" si="29"/>
        <v>60</v>
      </c>
      <c r="U137" s="33" t="str">
        <f t="shared" ca="1" si="30"/>
        <v>0</v>
      </c>
      <c r="V137" s="29">
        <f t="shared" ca="1" si="31"/>
        <v>480</v>
      </c>
      <c r="W137" s="29">
        <f t="shared" ca="1" si="32"/>
        <v>480</v>
      </c>
      <c r="X137" s="23" t="s">
        <v>713</v>
      </c>
      <c r="Y137" s="40">
        <v>0.42569444444444443</v>
      </c>
      <c r="Z137" s="23"/>
      <c r="AA137" s="23"/>
      <c r="AB137" s="23"/>
      <c r="AC137" s="24"/>
    </row>
    <row r="138" spans="7:29" x14ac:dyDescent="0.35">
      <c r="G138" s="12">
        <f t="shared" si="33"/>
        <v>135</v>
      </c>
      <c r="H138" s="11" t="s">
        <v>240</v>
      </c>
      <c r="I138" s="11" t="s">
        <v>426</v>
      </c>
      <c r="J138" s="13" t="s">
        <v>613</v>
      </c>
      <c r="L138" s="21">
        <v>135</v>
      </c>
      <c r="M138" s="22">
        <v>44927</v>
      </c>
      <c r="N138" s="23"/>
      <c r="O138" s="23">
        <f t="shared" ca="1" si="24"/>
        <v>68</v>
      </c>
      <c r="P138" s="23">
        <f t="shared" ca="1" si="25"/>
        <v>23</v>
      </c>
      <c r="Q138" s="23">
        <f t="shared" ca="1" si="26"/>
        <v>101</v>
      </c>
      <c r="R138" s="23">
        <f t="shared" ca="1" si="27"/>
        <v>5</v>
      </c>
      <c r="S138" s="23" t="str">
        <f t="shared" ca="1" si="28"/>
        <v>34/W, Willow Road, Ranchi, 834001</v>
      </c>
      <c r="T138" s="23">
        <f t="shared" ca="1" si="29"/>
        <v>120</v>
      </c>
      <c r="U138" s="33" t="str">
        <f t="shared" ca="1" si="30"/>
        <v>5%</v>
      </c>
      <c r="V138" s="29">
        <f t="shared" ca="1" si="31"/>
        <v>600</v>
      </c>
      <c r="W138" s="29">
        <f t="shared" ca="1" si="32"/>
        <v>570</v>
      </c>
      <c r="X138" s="23" t="s">
        <v>713</v>
      </c>
      <c r="Y138" s="40">
        <v>0.42638888888888887</v>
      </c>
      <c r="Z138" s="23"/>
      <c r="AA138" s="23"/>
      <c r="AB138" s="23"/>
      <c r="AC138" s="24"/>
    </row>
    <row r="139" spans="7:29" x14ac:dyDescent="0.35">
      <c r="G139" s="12">
        <f t="shared" si="33"/>
        <v>136</v>
      </c>
      <c r="H139" s="11" t="s">
        <v>241</v>
      </c>
      <c r="I139" s="11" t="s">
        <v>427</v>
      </c>
      <c r="J139" s="13" t="s">
        <v>614</v>
      </c>
      <c r="L139" s="21">
        <v>136</v>
      </c>
      <c r="M139" s="22">
        <v>44927</v>
      </c>
      <c r="N139" s="23"/>
      <c r="O139" s="23">
        <f t="shared" ca="1" si="24"/>
        <v>34</v>
      </c>
      <c r="P139" s="23">
        <f t="shared" ca="1" si="25"/>
        <v>8</v>
      </c>
      <c r="Q139" s="23">
        <f t="shared" ca="1" si="26"/>
        <v>129</v>
      </c>
      <c r="R139" s="23">
        <f t="shared" ca="1" si="27"/>
        <v>7</v>
      </c>
      <c r="S139" s="23" t="str">
        <f t="shared" ca="1" si="28"/>
        <v>56/H, Lily Lane, Ahmedabad, 380001</v>
      </c>
      <c r="T139" s="23">
        <f t="shared" ca="1" si="29"/>
        <v>260</v>
      </c>
      <c r="U139" s="33" t="str">
        <f t="shared" ca="1" si="30"/>
        <v>20%</v>
      </c>
      <c r="V139" s="29">
        <f t="shared" ca="1" si="31"/>
        <v>1820</v>
      </c>
      <c r="W139" s="29">
        <f t="shared" ca="1" si="32"/>
        <v>1456</v>
      </c>
      <c r="X139" s="23" t="s">
        <v>713</v>
      </c>
      <c r="Y139" s="40">
        <v>0.42708333333333331</v>
      </c>
      <c r="Z139" s="23"/>
      <c r="AA139" s="23"/>
      <c r="AB139" s="23"/>
      <c r="AC139" s="24"/>
    </row>
    <row r="140" spans="7:29" x14ac:dyDescent="0.35">
      <c r="G140" s="12">
        <f t="shared" si="33"/>
        <v>137</v>
      </c>
      <c r="H140" s="11" t="s">
        <v>242</v>
      </c>
      <c r="I140" s="11" t="s">
        <v>428</v>
      </c>
      <c r="J140" s="13" t="s">
        <v>615</v>
      </c>
      <c r="L140" s="21">
        <v>137</v>
      </c>
      <c r="M140" s="22">
        <v>44927</v>
      </c>
      <c r="N140" s="23"/>
      <c r="O140" s="23">
        <f t="shared" ca="1" si="24"/>
        <v>35</v>
      </c>
      <c r="P140" s="23">
        <f t="shared" ca="1" si="25"/>
        <v>5</v>
      </c>
      <c r="Q140" s="23">
        <f t="shared" ca="1" si="26"/>
        <v>131</v>
      </c>
      <c r="R140" s="23">
        <f t="shared" ca="1" si="27"/>
        <v>3</v>
      </c>
      <c r="S140" s="23" t="str">
        <f t="shared" ca="1" si="28"/>
        <v>23/E, Jasmine Nagar, Hyderabad, 500001</v>
      </c>
      <c r="T140" s="23">
        <f t="shared" ca="1" si="29"/>
        <v>240</v>
      </c>
      <c r="U140" s="33" t="str">
        <f t="shared" ca="1" si="30"/>
        <v>20%</v>
      </c>
      <c r="V140" s="29">
        <f t="shared" ca="1" si="31"/>
        <v>720</v>
      </c>
      <c r="W140" s="29">
        <f t="shared" ca="1" si="32"/>
        <v>576</v>
      </c>
      <c r="X140" s="23" t="s">
        <v>713</v>
      </c>
      <c r="Y140" s="40">
        <v>0.42777777777777776</v>
      </c>
      <c r="Z140" s="23"/>
      <c r="AA140" s="23"/>
      <c r="AB140" s="23"/>
      <c r="AC140" s="24"/>
    </row>
    <row r="141" spans="7:29" x14ac:dyDescent="0.35">
      <c r="G141" s="12">
        <f t="shared" si="33"/>
        <v>138</v>
      </c>
      <c r="H141" s="11" t="s">
        <v>243</v>
      </c>
      <c r="I141" s="11" t="s">
        <v>429</v>
      </c>
      <c r="J141" s="13" t="s">
        <v>616</v>
      </c>
      <c r="L141" s="21">
        <v>138</v>
      </c>
      <c r="M141" s="22">
        <v>44927</v>
      </c>
      <c r="N141" s="23"/>
      <c r="O141" s="23">
        <f t="shared" ca="1" si="24"/>
        <v>93</v>
      </c>
      <c r="P141" s="23">
        <f t="shared" ca="1" si="25"/>
        <v>115</v>
      </c>
      <c r="Q141" s="23">
        <f t="shared" ca="1" si="26"/>
        <v>169</v>
      </c>
      <c r="R141" s="23">
        <f t="shared" ca="1" si="27"/>
        <v>7</v>
      </c>
      <c r="S141" s="23" t="str">
        <f t="shared" ca="1" si="28"/>
        <v>45/DK, Kale Lane, Anand, 388001</v>
      </c>
      <c r="T141" s="23">
        <f t="shared" ca="1" si="29"/>
        <v>110</v>
      </c>
      <c r="U141" s="33" t="str">
        <f t="shared" ca="1" si="30"/>
        <v>5%</v>
      </c>
      <c r="V141" s="29">
        <f t="shared" ca="1" si="31"/>
        <v>770</v>
      </c>
      <c r="W141" s="29">
        <f t="shared" ca="1" si="32"/>
        <v>731.5</v>
      </c>
      <c r="X141" s="23" t="s">
        <v>713</v>
      </c>
      <c r="Y141" s="40">
        <v>0.4284722222222222</v>
      </c>
      <c r="Z141" s="23"/>
      <c r="AA141" s="23"/>
      <c r="AB141" s="23"/>
      <c r="AC141" s="24"/>
    </row>
    <row r="142" spans="7:29" x14ac:dyDescent="0.35">
      <c r="G142" s="12">
        <f t="shared" si="33"/>
        <v>139</v>
      </c>
      <c r="H142" s="11" t="s">
        <v>244</v>
      </c>
      <c r="I142" s="11" t="s">
        <v>430</v>
      </c>
      <c r="J142" s="13" t="s">
        <v>617</v>
      </c>
      <c r="L142" s="21">
        <v>139</v>
      </c>
      <c r="M142" s="22">
        <v>44927</v>
      </c>
      <c r="N142" s="23"/>
      <c r="O142" s="23">
        <f t="shared" ca="1" si="24"/>
        <v>21</v>
      </c>
      <c r="P142" s="23">
        <f t="shared" ca="1" si="25"/>
        <v>91</v>
      </c>
      <c r="Q142" s="23">
        <f t="shared" ca="1" si="26"/>
        <v>153</v>
      </c>
      <c r="R142" s="23">
        <f t="shared" ca="1" si="27"/>
        <v>3</v>
      </c>
      <c r="S142" s="23" t="str">
        <f t="shared" ca="1" si="28"/>
        <v>45/CM, Magnolia Street, Sirsa, 125055</v>
      </c>
      <c r="T142" s="23">
        <f t="shared" ca="1" si="29"/>
        <v>220</v>
      </c>
      <c r="U142" s="33" t="str">
        <f t="shared" ca="1" si="30"/>
        <v>20%</v>
      </c>
      <c r="V142" s="29">
        <f t="shared" ca="1" si="31"/>
        <v>660</v>
      </c>
      <c r="W142" s="29">
        <f t="shared" ca="1" si="32"/>
        <v>528</v>
      </c>
      <c r="X142" s="23" t="s">
        <v>713</v>
      </c>
      <c r="Y142" s="40">
        <v>0.42916666666666664</v>
      </c>
      <c r="Z142" s="23"/>
      <c r="AA142" s="23"/>
      <c r="AB142" s="23"/>
      <c r="AC142" s="24"/>
    </row>
    <row r="143" spans="7:29" x14ac:dyDescent="0.35">
      <c r="G143" s="12">
        <f t="shared" si="33"/>
        <v>140</v>
      </c>
      <c r="H143" s="11" t="s">
        <v>245</v>
      </c>
      <c r="I143" s="11" t="s">
        <v>431</v>
      </c>
      <c r="J143" s="13" t="s">
        <v>618</v>
      </c>
      <c r="L143" s="21">
        <v>140</v>
      </c>
      <c r="M143" s="22">
        <v>44927</v>
      </c>
      <c r="N143" s="23"/>
      <c r="O143" s="23">
        <f t="shared" ca="1" si="24"/>
        <v>56</v>
      </c>
      <c r="P143" s="23">
        <f t="shared" ca="1" si="25"/>
        <v>47</v>
      </c>
      <c r="Q143" s="23">
        <f t="shared" ca="1" si="26"/>
        <v>137</v>
      </c>
      <c r="R143" s="23">
        <f t="shared" ca="1" si="27"/>
        <v>8</v>
      </c>
      <c r="S143" s="23" t="str">
        <f t="shared" ca="1" si="28"/>
        <v>34/AU, Utopia Road, Warangal, 506001</v>
      </c>
      <c r="T143" s="23">
        <f t="shared" ca="1" si="29"/>
        <v>180</v>
      </c>
      <c r="U143" s="33" t="str">
        <f t="shared" ca="1" si="30"/>
        <v>10%</v>
      </c>
      <c r="V143" s="29">
        <f t="shared" ca="1" si="31"/>
        <v>1440</v>
      </c>
      <c r="W143" s="29">
        <f t="shared" ca="1" si="32"/>
        <v>1296</v>
      </c>
      <c r="X143" s="23" t="s">
        <v>713</v>
      </c>
      <c r="Y143" s="40">
        <v>0.42986111111111114</v>
      </c>
      <c r="Z143" s="23"/>
      <c r="AA143" s="23"/>
      <c r="AB143" s="23"/>
      <c r="AC143" s="24"/>
    </row>
    <row r="144" spans="7:29" x14ac:dyDescent="0.35">
      <c r="G144" s="12">
        <f t="shared" si="33"/>
        <v>141</v>
      </c>
      <c r="H144" s="11" t="s">
        <v>246</v>
      </c>
      <c r="I144" s="11" t="s">
        <v>432</v>
      </c>
      <c r="J144" s="13" t="s">
        <v>619</v>
      </c>
      <c r="L144" s="21">
        <v>141</v>
      </c>
      <c r="M144" s="22">
        <v>44927</v>
      </c>
      <c r="N144" s="23"/>
      <c r="O144" s="23">
        <f t="shared" ca="1" si="24"/>
        <v>52</v>
      </c>
      <c r="P144" s="23">
        <f t="shared" ca="1" si="25"/>
        <v>155</v>
      </c>
      <c r="Q144" s="23">
        <f t="shared" ca="1" si="26"/>
        <v>165</v>
      </c>
      <c r="R144" s="23">
        <f t="shared" ca="1" si="27"/>
        <v>10</v>
      </c>
      <c r="S144" s="23" t="str">
        <f t="shared" ca="1" si="28"/>
        <v>45/EY, Yarrow Lane, Guntur, 522001</v>
      </c>
      <c r="T144" s="23">
        <f t="shared" ca="1" si="29"/>
        <v>150</v>
      </c>
      <c r="U144" s="33" t="str">
        <f t="shared" ca="1" si="30"/>
        <v>10%</v>
      </c>
      <c r="V144" s="29">
        <f t="shared" ca="1" si="31"/>
        <v>1500</v>
      </c>
      <c r="W144" s="29">
        <f t="shared" ca="1" si="32"/>
        <v>1350</v>
      </c>
      <c r="X144" s="23" t="s">
        <v>714</v>
      </c>
      <c r="Y144" s="40">
        <v>0.43055555555555558</v>
      </c>
      <c r="Z144" s="23"/>
      <c r="AA144" s="23"/>
      <c r="AB144" s="23"/>
      <c r="AC144" s="24"/>
    </row>
    <row r="145" spans="7:29" x14ac:dyDescent="0.35">
      <c r="G145" s="12">
        <f t="shared" si="33"/>
        <v>142</v>
      </c>
      <c r="H145" s="11" t="s">
        <v>247</v>
      </c>
      <c r="I145" s="11" t="s">
        <v>433</v>
      </c>
      <c r="J145" s="13" t="s">
        <v>620</v>
      </c>
      <c r="L145" s="21">
        <v>142</v>
      </c>
      <c r="M145" s="22">
        <v>44927</v>
      </c>
      <c r="N145" s="23"/>
      <c r="O145" s="23">
        <f t="shared" ca="1" si="24"/>
        <v>51</v>
      </c>
      <c r="P145" s="23">
        <f t="shared" ca="1" si="25"/>
        <v>185</v>
      </c>
      <c r="Q145" s="23">
        <f t="shared" ca="1" si="26"/>
        <v>124</v>
      </c>
      <c r="R145" s="23">
        <f t="shared" ca="1" si="27"/>
        <v>5</v>
      </c>
      <c r="S145" s="23" t="str">
        <f t="shared" ca="1" si="28"/>
        <v>89/GC, Camellia Road, Kishanganj, 855107</v>
      </c>
      <c r="T145" s="23">
        <f t="shared" ca="1" si="29"/>
        <v>190</v>
      </c>
      <c r="U145" s="33" t="str">
        <f t="shared" ca="1" si="30"/>
        <v>10%</v>
      </c>
      <c r="V145" s="29">
        <f t="shared" ca="1" si="31"/>
        <v>950</v>
      </c>
      <c r="W145" s="29">
        <f t="shared" ca="1" si="32"/>
        <v>855</v>
      </c>
      <c r="X145" s="23" t="s">
        <v>714</v>
      </c>
      <c r="Y145" s="40">
        <v>0.43125000000000002</v>
      </c>
      <c r="Z145" s="23"/>
      <c r="AA145" s="23"/>
      <c r="AB145" s="23"/>
      <c r="AC145" s="24"/>
    </row>
    <row r="146" spans="7:29" x14ac:dyDescent="0.35">
      <c r="G146" s="12">
        <f t="shared" si="33"/>
        <v>143</v>
      </c>
      <c r="H146" s="11" t="s">
        <v>248</v>
      </c>
      <c r="I146" s="11" t="s">
        <v>434</v>
      </c>
      <c r="J146" s="13" t="s">
        <v>621</v>
      </c>
      <c r="L146" s="21">
        <v>143</v>
      </c>
      <c r="M146" s="22">
        <v>44927</v>
      </c>
      <c r="N146" s="23"/>
      <c r="O146" s="23">
        <f t="shared" ca="1" si="24"/>
        <v>94</v>
      </c>
      <c r="P146" s="23">
        <f t="shared" ca="1" si="25"/>
        <v>183</v>
      </c>
      <c r="Q146" s="23">
        <f t="shared" ca="1" si="26"/>
        <v>164</v>
      </c>
      <c r="R146" s="23">
        <f t="shared" ca="1" si="27"/>
        <v>6</v>
      </c>
      <c r="S146" s="23" t="str">
        <f t="shared" ca="1" si="28"/>
        <v>34/GA, Azalea Street, Kannur, 670001</v>
      </c>
      <c r="T146" s="23">
        <f t="shared" ca="1" si="29"/>
        <v>110</v>
      </c>
      <c r="U146" s="33" t="str">
        <f t="shared" ca="1" si="30"/>
        <v>5%</v>
      </c>
      <c r="V146" s="29">
        <f t="shared" ca="1" si="31"/>
        <v>660</v>
      </c>
      <c r="W146" s="29">
        <f t="shared" ca="1" si="32"/>
        <v>627</v>
      </c>
      <c r="X146" s="23" t="s">
        <v>714</v>
      </c>
      <c r="Y146" s="40">
        <v>0.43194444444444446</v>
      </c>
      <c r="Z146" s="23"/>
      <c r="AA146" s="23"/>
      <c r="AB146" s="23"/>
      <c r="AC146" s="24"/>
    </row>
    <row r="147" spans="7:29" x14ac:dyDescent="0.35">
      <c r="G147" s="12">
        <f t="shared" si="33"/>
        <v>144</v>
      </c>
      <c r="H147" s="11" t="s">
        <v>249</v>
      </c>
      <c r="I147" s="11" t="s">
        <v>435</v>
      </c>
      <c r="J147" s="13" t="s">
        <v>622</v>
      </c>
      <c r="L147" s="21">
        <v>144</v>
      </c>
      <c r="M147" s="22">
        <v>44927</v>
      </c>
      <c r="N147" s="23"/>
      <c r="O147" s="23">
        <f t="shared" ca="1" si="24"/>
        <v>62</v>
      </c>
      <c r="P147" s="23">
        <f t="shared" ca="1" si="25"/>
        <v>35</v>
      </c>
      <c r="Q147" s="23">
        <f t="shared" ca="1" si="26"/>
        <v>135</v>
      </c>
      <c r="R147" s="23">
        <f t="shared" ca="1" si="27"/>
        <v>2</v>
      </c>
      <c r="S147" s="23" t="str">
        <f t="shared" ca="1" si="28"/>
        <v>45/AI, Iris Street, Noida, 201301</v>
      </c>
      <c r="T147" s="23">
        <f t="shared" ca="1" si="29"/>
        <v>80</v>
      </c>
      <c r="U147" s="33" t="str">
        <f t="shared" ca="1" si="30"/>
        <v>0</v>
      </c>
      <c r="V147" s="29">
        <f t="shared" ca="1" si="31"/>
        <v>160</v>
      </c>
      <c r="W147" s="29">
        <f t="shared" ca="1" si="32"/>
        <v>160</v>
      </c>
      <c r="X147" s="23" t="s">
        <v>714</v>
      </c>
      <c r="Y147" s="40">
        <v>0.43263888888888891</v>
      </c>
      <c r="Z147" s="23"/>
      <c r="AA147" s="23"/>
      <c r="AB147" s="23"/>
      <c r="AC147" s="24"/>
    </row>
    <row r="148" spans="7:29" x14ac:dyDescent="0.35">
      <c r="G148" s="12">
        <f t="shared" si="33"/>
        <v>145</v>
      </c>
      <c r="H148" s="11" t="s">
        <v>250</v>
      </c>
      <c r="I148" s="11" t="s">
        <v>436</v>
      </c>
      <c r="J148" s="13" t="s">
        <v>623</v>
      </c>
      <c r="L148" s="21">
        <v>145</v>
      </c>
      <c r="M148" s="22">
        <v>44927</v>
      </c>
      <c r="N148" s="23"/>
      <c r="O148" s="23">
        <f t="shared" ca="1" si="24"/>
        <v>13</v>
      </c>
      <c r="P148" s="23">
        <f t="shared" ca="1" si="25"/>
        <v>66</v>
      </c>
      <c r="Q148" s="23">
        <f t="shared" ca="1" si="26"/>
        <v>100</v>
      </c>
      <c r="R148" s="23">
        <f t="shared" ca="1" si="27"/>
        <v>4</v>
      </c>
      <c r="S148" s="23" t="str">
        <f t="shared" ca="1" si="28"/>
        <v>78/BN, Nasturtium Avenue, Tirupati, 517501</v>
      </c>
      <c r="T148" s="23">
        <f t="shared" ca="1" si="29"/>
        <v>200</v>
      </c>
      <c r="U148" s="33" t="str">
        <f t="shared" ca="1" si="30"/>
        <v>20%</v>
      </c>
      <c r="V148" s="29">
        <f t="shared" ca="1" si="31"/>
        <v>800</v>
      </c>
      <c r="W148" s="29">
        <f t="shared" ca="1" si="32"/>
        <v>640</v>
      </c>
      <c r="X148" s="23" t="s">
        <v>714</v>
      </c>
      <c r="Y148" s="40">
        <v>0.43333333333333335</v>
      </c>
      <c r="Z148" s="23"/>
      <c r="AA148" s="23"/>
      <c r="AB148" s="23"/>
      <c r="AC148" s="24"/>
    </row>
    <row r="149" spans="7:29" x14ac:dyDescent="0.35">
      <c r="G149" s="12">
        <f t="shared" si="33"/>
        <v>146</v>
      </c>
      <c r="H149" s="11" t="s">
        <v>251</v>
      </c>
      <c r="I149" s="11" t="s">
        <v>437</v>
      </c>
      <c r="J149" s="13" t="s">
        <v>624</v>
      </c>
      <c r="L149" s="21">
        <v>146</v>
      </c>
      <c r="M149" s="22">
        <v>44927</v>
      </c>
      <c r="N149" s="23"/>
      <c r="O149" s="23">
        <f t="shared" ca="1" si="24"/>
        <v>21</v>
      </c>
      <c r="P149" s="23">
        <f t="shared" ca="1" si="25"/>
        <v>30</v>
      </c>
      <c r="Q149" s="23">
        <f t="shared" ca="1" si="26"/>
        <v>101</v>
      </c>
      <c r="R149" s="23">
        <f t="shared" ca="1" si="27"/>
        <v>6</v>
      </c>
      <c r="S149" s="23" t="str">
        <f t="shared" ca="1" si="28"/>
        <v>67/AD, Dahlia Lane, Raipur, 492001</v>
      </c>
      <c r="T149" s="23">
        <f t="shared" ca="1" si="29"/>
        <v>220</v>
      </c>
      <c r="U149" s="33" t="str">
        <f t="shared" ca="1" si="30"/>
        <v>20%</v>
      </c>
      <c r="V149" s="29">
        <f t="shared" ca="1" si="31"/>
        <v>1320</v>
      </c>
      <c r="W149" s="29">
        <f t="shared" ca="1" si="32"/>
        <v>1056</v>
      </c>
      <c r="X149" s="23" t="s">
        <v>714</v>
      </c>
      <c r="Y149" s="40">
        <v>0.43402777777777779</v>
      </c>
      <c r="Z149" s="23"/>
      <c r="AA149" s="23"/>
      <c r="AB149" s="23"/>
      <c r="AC149" s="24"/>
    </row>
    <row r="150" spans="7:29" x14ac:dyDescent="0.35">
      <c r="G150" s="12">
        <f t="shared" si="33"/>
        <v>147</v>
      </c>
      <c r="H150" s="11" t="s">
        <v>252</v>
      </c>
      <c r="I150" s="11" t="s">
        <v>438</v>
      </c>
      <c r="J150" s="13" t="s">
        <v>625</v>
      </c>
      <c r="L150" s="21">
        <v>147</v>
      </c>
      <c r="M150" s="22">
        <v>44927</v>
      </c>
      <c r="N150" s="23"/>
      <c r="O150" s="23">
        <f t="shared" ca="1" si="24"/>
        <v>34</v>
      </c>
      <c r="P150" s="23">
        <f t="shared" ca="1" si="25"/>
        <v>16</v>
      </c>
      <c r="Q150" s="23">
        <f t="shared" ca="1" si="26"/>
        <v>132</v>
      </c>
      <c r="R150" s="23">
        <f t="shared" ca="1" si="27"/>
        <v>8</v>
      </c>
      <c r="S150" s="23" t="str">
        <f t="shared" ca="1" si="28"/>
        <v>78/P, Petunia Avenue, Thane, 400601</v>
      </c>
      <c r="T150" s="23">
        <f t="shared" ca="1" si="29"/>
        <v>260</v>
      </c>
      <c r="U150" s="33" t="str">
        <f t="shared" ca="1" si="30"/>
        <v>20%</v>
      </c>
      <c r="V150" s="29">
        <f t="shared" ca="1" si="31"/>
        <v>2080</v>
      </c>
      <c r="W150" s="29">
        <f t="shared" ca="1" si="32"/>
        <v>1664</v>
      </c>
      <c r="X150" s="23" t="s">
        <v>714</v>
      </c>
      <c r="Y150" s="40">
        <v>0.43472222222222223</v>
      </c>
      <c r="Z150" s="23"/>
      <c r="AA150" s="23"/>
      <c r="AB150" s="23"/>
      <c r="AC150" s="24"/>
    </row>
    <row r="151" spans="7:29" x14ac:dyDescent="0.35">
      <c r="G151" s="12">
        <f t="shared" si="33"/>
        <v>148</v>
      </c>
      <c r="H151" s="11" t="s">
        <v>253</v>
      </c>
      <c r="I151" s="11" t="s">
        <v>439</v>
      </c>
      <c r="J151" s="13" t="s">
        <v>626</v>
      </c>
      <c r="L151" s="21">
        <v>148</v>
      </c>
      <c r="M151" s="22">
        <v>44927</v>
      </c>
      <c r="N151" s="23"/>
      <c r="O151" s="23">
        <f t="shared" ca="1" si="24"/>
        <v>53</v>
      </c>
      <c r="P151" s="23">
        <f t="shared" ca="1" si="25"/>
        <v>185</v>
      </c>
      <c r="Q151" s="23">
        <f t="shared" ca="1" si="26"/>
        <v>119</v>
      </c>
      <c r="R151" s="23">
        <f t="shared" ca="1" si="27"/>
        <v>7</v>
      </c>
      <c r="S151" s="23" t="str">
        <f t="shared" ca="1" si="28"/>
        <v>89/GC, Camellia Road, Kishanganj, 855107</v>
      </c>
      <c r="T151" s="23">
        <f t="shared" ca="1" si="29"/>
        <v>180</v>
      </c>
      <c r="U151" s="33" t="str">
        <f t="shared" ca="1" si="30"/>
        <v>10%</v>
      </c>
      <c r="V151" s="29">
        <f t="shared" ca="1" si="31"/>
        <v>1260</v>
      </c>
      <c r="W151" s="29">
        <f t="shared" ca="1" si="32"/>
        <v>1134</v>
      </c>
      <c r="X151" s="23" t="s">
        <v>714</v>
      </c>
      <c r="Y151" s="40">
        <v>0.43541666666666667</v>
      </c>
      <c r="Z151" s="23"/>
      <c r="AA151" s="23"/>
      <c r="AB151" s="23"/>
      <c r="AC151" s="24"/>
    </row>
    <row r="152" spans="7:29" x14ac:dyDescent="0.35">
      <c r="G152" s="12">
        <f t="shared" si="33"/>
        <v>149</v>
      </c>
      <c r="H152" s="11" t="s">
        <v>254</v>
      </c>
      <c r="I152" s="11" t="s">
        <v>440</v>
      </c>
      <c r="J152" s="13" t="s">
        <v>627</v>
      </c>
      <c r="L152" s="21">
        <v>149</v>
      </c>
      <c r="M152" s="22">
        <v>44927</v>
      </c>
      <c r="N152" s="23"/>
      <c r="O152" s="23">
        <f t="shared" ca="1" si="24"/>
        <v>87</v>
      </c>
      <c r="P152" s="23">
        <f t="shared" ca="1" si="25"/>
        <v>25</v>
      </c>
      <c r="Q152" s="23">
        <f t="shared" ca="1" si="26"/>
        <v>150</v>
      </c>
      <c r="R152" s="23">
        <f t="shared" ca="1" si="27"/>
        <v>6</v>
      </c>
      <c r="S152" s="23" t="str">
        <f t="shared" ca="1" si="28"/>
        <v>89/Y, Yew Lane, Coimbatore, 641001</v>
      </c>
      <c r="T152" s="23">
        <f t="shared" ca="1" si="29"/>
        <v>40</v>
      </c>
      <c r="U152" s="33" t="str">
        <f t="shared" ca="1" si="30"/>
        <v>0</v>
      </c>
      <c r="V152" s="29">
        <f t="shared" ca="1" si="31"/>
        <v>240</v>
      </c>
      <c r="W152" s="29">
        <f t="shared" ca="1" si="32"/>
        <v>240</v>
      </c>
      <c r="X152" s="23" t="s">
        <v>713</v>
      </c>
      <c r="Y152" s="40">
        <v>0.43611111111111112</v>
      </c>
      <c r="Z152" s="23"/>
      <c r="AA152" s="23"/>
      <c r="AB152" s="23"/>
      <c r="AC152" s="24"/>
    </row>
    <row r="153" spans="7:29" x14ac:dyDescent="0.35">
      <c r="G153" s="12">
        <f t="shared" si="33"/>
        <v>150</v>
      </c>
      <c r="H153" s="11" t="s">
        <v>255</v>
      </c>
      <c r="I153" s="11" t="s">
        <v>441</v>
      </c>
      <c r="J153" s="13" t="s">
        <v>628</v>
      </c>
      <c r="L153" s="21">
        <v>150</v>
      </c>
      <c r="M153" s="22">
        <v>44927</v>
      </c>
      <c r="N153" s="23"/>
      <c r="O153" s="23">
        <f t="shared" ca="1" si="24"/>
        <v>3</v>
      </c>
      <c r="P153" s="23">
        <f t="shared" ca="1" si="25"/>
        <v>105</v>
      </c>
      <c r="Q153" s="23">
        <f t="shared" ca="1" si="26"/>
        <v>158</v>
      </c>
      <c r="R153" s="23">
        <f t="shared" ca="1" si="27"/>
        <v>8</v>
      </c>
      <c r="S153" s="23" t="str">
        <f t="shared" ca="1" si="28"/>
        <v>89/DA, Azalea Lane, Varanasi, 221001</v>
      </c>
      <c r="T153" s="23">
        <f t="shared" ca="1" si="29"/>
        <v>170</v>
      </c>
      <c r="U153" s="33" t="str">
        <f t="shared" ca="1" si="30"/>
        <v>10%</v>
      </c>
      <c r="V153" s="29">
        <f t="shared" ca="1" si="31"/>
        <v>1360</v>
      </c>
      <c r="W153" s="29">
        <f t="shared" ca="1" si="32"/>
        <v>1224</v>
      </c>
      <c r="X153" s="23" t="s">
        <v>713</v>
      </c>
      <c r="Y153" s="40">
        <v>0.43680555555555556</v>
      </c>
      <c r="Z153" s="23"/>
      <c r="AA153" s="23"/>
      <c r="AB153" s="23"/>
      <c r="AC153" s="24"/>
    </row>
    <row r="154" spans="7:29" x14ac:dyDescent="0.35">
      <c r="G154" s="12">
        <f t="shared" si="33"/>
        <v>151</v>
      </c>
      <c r="H154" s="11" t="s">
        <v>174</v>
      </c>
      <c r="I154" s="11" t="s">
        <v>442</v>
      </c>
      <c r="J154" s="13" t="s">
        <v>629</v>
      </c>
      <c r="L154" s="21">
        <v>151</v>
      </c>
      <c r="M154" s="22">
        <v>44927</v>
      </c>
      <c r="N154" s="23"/>
      <c r="O154" s="23">
        <f t="shared" ca="1" si="24"/>
        <v>6</v>
      </c>
      <c r="P154" s="23">
        <f t="shared" ca="1" si="25"/>
        <v>54</v>
      </c>
      <c r="Q154" s="23">
        <f t="shared" ca="1" si="26"/>
        <v>112</v>
      </c>
      <c r="R154" s="23">
        <f t="shared" ca="1" si="27"/>
        <v>2</v>
      </c>
      <c r="S154" s="23" t="str">
        <f t="shared" ca="1" si="28"/>
        <v>67/BB, Bluebell Lane, Firozabad, 283203</v>
      </c>
      <c r="T154" s="23">
        <f t="shared" ca="1" si="29"/>
        <v>220</v>
      </c>
      <c r="U154" s="33" t="str">
        <f t="shared" ca="1" si="30"/>
        <v>20%</v>
      </c>
      <c r="V154" s="29">
        <f t="shared" ca="1" si="31"/>
        <v>440</v>
      </c>
      <c r="W154" s="29">
        <f t="shared" ca="1" si="32"/>
        <v>352</v>
      </c>
      <c r="X154" s="23" t="s">
        <v>713</v>
      </c>
      <c r="Y154" s="40">
        <v>0.4375</v>
      </c>
      <c r="Z154" s="23"/>
      <c r="AA154" s="23"/>
      <c r="AB154" s="23"/>
      <c r="AC154" s="24"/>
    </row>
    <row r="155" spans="7:29" x14ac:dyDescent="0.35">
      <c r="G155" s="12">
        <f t="shared" si="33"/>
        <v>152</v>
      </c>
      <c r="H155" s="11" t="s">
        <v>256</v>
      </c>
      <c r="I155" s="11" t="s">
        <v>443</v>
      </c>
      <c r="J155" s="13" t="s">
        <v>630</v>
      </c>
      <c r="L155" s="21">
        <v>152</v>
      </c>
      <c r="M155" s="22">
        <v>44927</v>
      </c>
      <c r="N155" s="23"/>
      <c r="O155" s="23">
        <f t="shared" ca="1" si="24"/>
        <v>1</v>
      </c>
      <c r="P155" s="23">
        <f t="shared" ca="1" si="25"/>
        <v>19</v>
      </c>
      <c r="Q155" s="23">
        <f t="shared" ca="1" si="26"/>
        <v>105</v>
      </c>
      <c r="R155" s="23">
        <f t="shared" ca="1" si="27"/>
        <v>6</v>
      </c>
      <c r="S155" s="23" t="str">
        <f t="shared" ca="1" si="28"/>
        <v>45/S, Sunflower Lane, Ludhiana, 141001</v>
      </c>
      <c r="T155" s="23">
        <f t="shared" ca="1" si="29"/>
        <v>150</v>
      </c>
      <c r="U155" s="33" t="str">
        <f t="shared" ca="1" si="30"/>
        <v>10%</v>
      </c>
      <c r="V155" s="29">
        <f t="shared" ca="1" si="31"/>
        <v>900</v>
      </c>
      <c r="W155" s="29">
        <f t="shared" ca="1" si="32"/>
        <v>810</v>
      </c>
      <c r="X155" s="23" t="s">
        <v>713</v>
      </c>
      <c r="Y155" s="37">
        <v>0.43854166666666666</v>
      </c>
      <c r="Z155" s="23"/>
      <c r="AA155" s="23"/>
      <c r="AB155" s="23"/>
      <c r="AC155" s="24"/>
    </row>
    <row r="156" spans="7:29" x14ac:dyDescent="0.35">
      <c r="G156" s="12">
        <f t="shared" si="33"/>
        <v>153</v>
      </c>
      <c r="H156" s="11" t="s">
        <v>257</v>
      </c>
      <c r="I156" s="11" t="s">
        <v>444</v>
      </c>
      <c r="J156" s="13" t="s">
        <v>631</v>
      </c>
      <c r="L156" s="21">
        <v>153</v>
      </c>
      <c r="M156" s="22">
        <v>44927</v>
      </c>
      <c r="N156" s="23"/>
      <c r="O156" s="23">
        <f t="shared" ca="1" si="24"/>
        <v>29</v>
      </c>
      <c r="P156" s="23">
        <f t="shared" ca="1" si="25"/>
        <v>29</v>
      </c>
      <c r="Q156" s="23">
        <f t="shared" ca="1" si="26"/>
        <v>147</v>
      </c>
      <c r="R156" s="23">
        <f t="shared" ca="1" si="27"/>
        <v>9</v>
      </c>
      <c r="S156" s="23" t="str">
        <f t="shared" ca="1" si="28"/>
        <v>23/AC, Camellia Road, Jodhpur, 342001</v>
      </c>
      <c r="T156" s="23">
        <f t="shared" ca="1" si="29"/>
        <v>200</v>
      </c>
      <c r="U156" s="33" t="str">
        <f t="shared" ca="1" si="30"/>
        <v>20%</v>
      </c>
      <c r="V156" s="29">
        <f t="shared" ca="1" si="31"/>
        <v>1800</v>
      </c>
      <c r="W156" s="29">
        <f t="shared" ca="1" si="32"/>
        <v>1440</v>
      </c>
      <c r="X156" s="23" t="s">
        <v>713</v>
      </c>
      <c r="Y156" s="37">
        <v>0.4392361111111111</v>
      </c>
      <c r="Z156" s="23"/>
      <c r="AA156" s="23"/>
      <c r="AB156" s="23"/>
      <c r="AC156" s="24"/>
    </row>
    <row r="157" spans="7:29" x14ac:dyDescent="0.35">
      <c r="G157" s="12">
        <f t="shared" si="33"/>
        <v>154</v>
      </c>
      <c r="H157" s="11" t="s">
        <v>258</v>
      </c>
      <c r="I157" s="11" t="s">
        <v>445</v>
      </c>
      <c r="J157" s="13" t="s">
        <v>632</v>
      </c>
      <c r="L157" s="21">
        <v>154</v>
      </c>
      <c r="M157" s="22">
        <v>44927</v>
      </c>
      <c r="N157" s="23"/>
      <c r="O157" s="23">
        <f t="shared" ca="1" si="24"/>
        <v>36</v>
      </c>
      <c r="P157" s="23">
        <f t="shared" ca="1" si="25"/>
        <v>181</v>
      </c>
      <c r="Q157" s="23">
        <f t="shared" ca="1" si="26"/>
        <v>158</v>
      </c>
      <c r="R157" s="23">
        <f t="shared" ca="1" si="27"/>
        <v>6</v>
      </c>
      <c r="S157" s="23" t="str">
        <f t="shared" ca="1" si="28"/>
        <v>23/FY, Yarrow Road, Kalyan-Dombivli, 421301</v>
      </c>
      <c r="T157" s="23">
        <f t="shared" ca="1" si="29"/>
        <v>200</v>
      </c>
      <c r="U157" s="33" t="str">
        <f t="shared" ca="1" si="30"/>
        <v>20%</v>
      </c>
      <c r="V157" s="29">
        <f t="shared" ca="1" si="31"/>
        <v>1200</v>
      </c>
      <c r="W157" s="29">
        <f t="shared" ca="1" si="32"/>
        <v>960</v>
      </c>
      <c r="X157" s="23" t="s">
        <v>713</v>
      </c>
      <c r="Y157" s="37">
        <v>0.4392361111111111</v>
      </c>
      <c r="Z157" s="23"/>
      <c r="AA157" s="23"/>
      <c r="AB157" s="23"/>
      <c r="AC157" s="24"/>
    </row>
    <row r="158" spans="7:29" x14ac:dyDescent="0.35">
      <c r="G158" s="12">
        <f t="shared" si="33"/>
        <v>155</v>
      </c>
      <c r="H158" s="11" t="s">
        <v>259</v>
      </c>
      <c r="I158" s="11" t="s">
        <v>446</v>
      </c>
      <c r="J158" s="13" t="s">
        <v>633</v>
      </c>
      <c r="L158" s="21">
        <v>155</v>
      </c>
      <c r="M158" s="22">
        <v>44927</v>
      </c>
      <c r="N158" s="23"/>
      <c r="O158" s="23">
        <f t="shared" ca="1" si="24"/>
        <v>94</v>
      </c>
      <c r="P158" s="23">
        <f t="shared" ca="1" si="25"/>
        <v>179</v>
      </c>
      <c r="Q158" s="23">
        <f t="shared" ca="1" si="26"/>
        <v>169</v>
      </c>
      <c r="R158" s="23">
        <f t="shared" ca="1" si="27"/>
        <v>1</v>
      </c>
      <c r="S158" s="23" t="str">
        <f t="shared" ca="1" si="28"/>
        <v>45/FW, Water Lily Street, Kadapa, 516001</v>
      </c>
      <c r="T158" s="23">
        <f t="shared" ca="1" si="29"/>
        <v>110</v>
      </c>
      <c r="U158" s="33" t="str">
        <f t="shared" ca="1" si="30"/>
        <v>5%</v>
      </c>
      <c r="V158" s="29">
        <f t="shared" ca="1" si="31"/>
        <v>110</v>
      </c>
      <c r="W158" s="29">
        <f t="shared" ca="1" si="32"/>
        <v>104.5</v>
      </c>
      <c r="X158" s="23" t="s">
        <v>713</v>
      </c>
      <c r="Y158" s="37">
        <v>0.43993055555555555</v>
      </c>
      <c r="Z158" s="23"/>
      <c r="AA158" s="23"/>
      <c r="AB158" s="23"/>
      <c r="AC158" s="24"/>
    </row>
    <row r="159" spans="7:29" x14ac:dyDescent="0.35">
      <c r="G159" s="12">
        <f t="shared" si="33"/>
        <v>156</v>
      </c>
      <c r="H159" s="11" t="s">
        <v>260</v>
      </c>
      <c r="I159" s="11" t="s">
        <v>447</v>
      </c>
      <c r="J159" s="13" t="s">
        <v>634</v>
      </c>
      <c r="L159" s="21">
        <v>156</v>
      </c>
      <c r="M159" s="22">
        <v>44927</v>
      </c>
      <c r="N159" s="23"/>
      <c r="O159" s="23">
        <f t="shared" ca="1" si="24"/>
        <v>99</v>
      </c>
      <c r="P159" s="23">
        <f t="shared" ca="1" si="25"/>
        <v>38</v>
      </c>
      <c r="Q159" s="23">
        <f t="shared" ca="1" si="26"/>
        <v>126</v>
      </c>
      <c r="R159" s="23">
        <f t="shared" ca="1" si="27"/>
        <v>9</v>
      </c>
      <c r="S159" s="23" t="str">
        <f t="shared" ca="1" si="28"/>
        <v>67/AL, Larkspur Street, Ghaziabad, 201001</v>
      </c>
      <c r="T159" s="23">
        <f t="shared" ca="1" si="29"/>
        <v>80</v>
      </c>
      <c r="U159" s="33" t="str">
        <f t="shared" ca="1" si="30"/>
        <v>0</v>
      </c>
      <c r="V159" s="29">
        <f t="shared" ca="1" si="31"/>
        <v>720</v>
      </c>
      <c r="W159" s="29">
        <f t="shared" ca="1" si="32"/>
        <v>720</v>
      </c>
      <c r="X159" s="23" t="s">
        <v>713</v>
      </c>
      <c r="Y159" s="37">
        <v>0.43854166666666666</v>
      </c>
      <c r="Z159" s="23"/>
      <c r="AA159" s="23"/>
      <c r="AB159" s="23"/>
      <c r="AC159" s="24"/>
    </row>
    <row r="160" spans="7:29" x14ac:dyDescent="0.35">
      <c r="G160" s="12">
        <f t="shared" si="33"/>
        <v>157</v>
      </c>
      <c r="H160" s="11" t="s">
        <v>261</v>
      </c>
      <c r="I160" s="11" t="s">
        <v>448</v>
      </c>
      <c r="J160" s="13" t="s">
        <v>635</v>
      </c>
      <c r="L160" s="21">
        <v>157</v>
      </c>
      <c r="M160" s="22">
        <v>44927</v>
      </c>
      <c r="N160" s="23"/>
      <c r="O160" s="23">
        <f t="shared" ca="1" si="24"/>
        <v>48</v>
      </c>
      <c r="P160" s="23">
        <f t="shared" ca="1" si="25"/>
        <v>132</v>
      </c>
      <c r="Q160" s="23">
        <f t="shared" ca="1" si="26"/>
        <v>121</v>
      </c>
      <c r="R160" s="23">
        <f t="shared" ca="1" si="27"/>
        <v>7</v>
      </c>
      <c r="S160" s="23" t="str">
        <f t="shared" ca="1" si="28"/>
        <v>56/EB, Bluebell Lane, Chandannagar, 712136</v>
      </c>
      <c r="T160" s="23">
        <f t="shared" ca="1" si="29"/>
        <v>60</v>
      </c>
      <c r="U160" s="33" t="str">
        <f t="shared" ca="1" si="30"/>
        <v>0</v>
      </c>
      <c r="V160" s="29">
        <f t="shared" ca="1" si="31"/>
        <v>420</v>
      </c>
      <c r="W160" s="29">
        <f t="shared" ca="1" si="32"/>
        <v>420</v>
      </c>
      <c r="X160" s="23" t="s">
        <v>713</v>
      </c>
      <c r="Y160" s="37">
        <v>0.43854166666666666</v>
      </c>
      <c r="Z160" s="23"/>
      <c r="AA160" s="23"/>
      <c r="AB160" s="23"/>
      <c r="AC160" s="24"/>
    </row>
    <row r="161" spans="7:29" x14ac:dyDescent="0.35">
      <c r="G161" s="12">
        <f t="shared" si="33"/>
        <v>158</v>
      </c>
      <c r="H161" s="11" t="s">
        <v>262</v>
      </c>
      <c r="I161" s="11" t="s">
        <v>449</v>
      </c>
      <c r="J161" s="13" t="s">
        <v>636</v>
      </c>
      <c r="L161" s="21">
        <v>158</v>
      </c>
      <c r="M161" s="22">
        <v>44927</v>
      </c>
      <c r="N161" s="23"/>
      <c r="O161" s="23">
        <f t="shared" ca="1" si="24"/>
        <v>9</v>
      </c>
      <c r="P161" s="23">
        <f t="shared" ca="1" si="25"/>
        <v>69</v>
      </c>
      <c r="Q161" s="23">
        <f t="shared" ca="1" si="26"/>
        <v>108</v>
      </c>
      <c r="R161" s="23">
        <f t="shared" ca="1" si="27"/>
        <v>7</v>
      </c>
      <c r="S161" s="23" t="str">
        <f t="shared" ca="1" si="28"/>
        <v>23/BQ, Quince Road, Nadiad, 387001</v>
      </c>
      <c r="T161" s="23">
        <f t="shared" ca="1" si="29"/>
        <v>150</v>
      </c>
      <c r="U161" s="33" t="str">
        <f t="shared" ca="1" si="30"/>
        <v>10%</v>
      </c>
      <c r="V161" s="29">
        <f t="shared" ca="1" si="31"/>
        <v>1050</v>
      </c>
      <c r="W161" s="29">
        <f t="shared" ca="1" si="32"/>
        <v>945</v>
      </c>
      <c r="X161" s="23" t="s">
        <v>713</v>
      </c>
      <c r="Y161" s="23"/>
      <c r="Z161" s="23"/>
      <c r="AA161" s="23"/>
      <c r="AB161" s="23"/>
      <c r="AC161" s="24"/>
    </row>
    <row r="162" spans="7:29" x14ac:dyDescent="0.35">
      <c r="G162" s="12">
        <f t="shared" si="33"/>
        <v>159</v>
      </c>
      <c r="H162" s="11" t="s">
        <v>263</v>
      </c>
      <c r="I162" s="11" t="s">
        <v>450</v>
      </c>
      <c r="J162" s="13" t="s">
        <v>637</v>
      </c>
      <c r="L162" s="21">
        <v>159</v>
      </c>
      <c r="M162" s="22">
        <v>44927</v>
      </c>
      <c r="N162" s="23"/>
      <c r="O162" s="23">
        <f t="shared" ca="1" si="24"/>
        <v>51</v>
      </c>
      <c r="P162" s="23">
        <f t="shared" ca="1" si="25"/>
        <v>121</v>
      </c>
      <c r="Q162" s="23">
        <f t="shared" ca="1" si="26"/>
        <v>114</v>
      </c>
      <c r="R162" s="23">
        <f t="shared" ca="1" si="27"/>
        <v>10</v>
      </c>
      <c r="S162" s="23" t="str">
        <f t="shared" ca="1" si="28"/>
        <v>89/DQ, Quince Road, Bardhaman, 713101</v>
      </c>
      <c r="T162" s="23">
        <f t="shared" ca="1" si="29"/>
        <v>190</v>
      </c>
      <c r="U162" s="33" t="str">
        <f t="shared" ca="1" si="30"/>
        <v>10%</v>
      </c>
      <c r="V162" s="29">
        <f t="shared" ca="1" si="31"/>
        <v>1900</v>
      </c>
      <c r="W162" s="29">
        <f t="shared" ca="1" si="32"/>
        <v>1710</v>
      </c>
      <c r="X162" s="23" t="s">
        <v>713</v>
      </c>
      <c r="Y162" s="23"/>
      <c r="Z162" s="23"/>
      <c r="AA162" s="23"/>
      <c r="AB162" s="23"/>
      <c r="AC162" s="24"/>
    </row>
    <row r="163" spans="7:29" x14ac:dyDescent="0.35">
      <c r="G163" s="12">
        <f t="shared" si="33"/>
        <v>160</v>
      </c>
      <c r="H163" s="11" t="s">
        <v>264</v>
      </c>
      <c r="I163" s="11" t="s">
        <v>451</v>
      </c>
      <c r="J163" s="13" t="s">
        <v>638</v>
      </c>
      <c r="L163" s="21">
        <v>160</v>
      </c>
      <c r="M163" s="22">
        <v>44927</v>
      </c>
      <c r="N163" s="23"/>
      <c r="O163" s="23">
        <f t="shared" ca="1" si="24"/>
        <v>66</v>
      </c>
      <c r="P163" s="23">
        <f t="shared" ca="1" si="25"/>
        <v>95</v>
      </c>
      <c r="Q163" s="23">
        <f t="shared" ca="1" si="26"/>
        <v>146</v>
      </c>
      <c r="R163" s="23">
        <f t="shared" ca="1" si="27"/>
        <v>1</v>
      </c>
      <c r="S163" s="23" t="str">
        <f t="shared" ca="1" si="28"/>
        <v>34/CQ, Quince Avenue, Tenali, 522201</v>
      </c>
      <c r="T163" s="23">
        <f t="shared" ca="1" si="29"/>
        <v>80</v>
      </c>
      <c r="U163" s="33" t="str">
        <f t="shared" ca="1" si="30"/>
        <v>0</v>
      </c>
      <c r="V163" s="29">
        <f t="shared" ca="1" si="31"/>
        <v>80</v>
      </c>
      <c r="W163" s="29">
        <f t="shared" ca="1" si="32"/>
        <v>80</v>
      </c>
      <c r="X163" s="23" t="s">
        <v>713</v>
      </c>
      <c r="Y163" s="23"/>
      <c r="Z163" s="23"/>
      <c r="AA163" s="23"/>
      <c r="AB163" s="23"/>
      <c r="AC163" s="24"/>
    </row>
    <row r="164" spans="7:29" x14ac:dyDescent="0.35">
      <c r="G164" s="12">
        <f t="shared" si="33"/>
        <v>161</v>
      </c>
      <c r="H164" s="11" t="s">
        <v>265</v>
      </c>
      <c r="I164" s="11" t="s">
        <v>452</v>
      </c>
      <c r="J164" s="13" t="s">
        <v>639</v>
      </c>
      <c r="L164" s="21">
        <v>161</v>
      </c>
      <c r="M164" s="22">
        <v>44927</v>
      </c>
      <c r="N164" s="23"/>
      <c r="O164" s="23">
        <f t="shared" ca="1" si="24"/>
        <v>3</v>
      </c>
      <c r="P164" s="23">
        <f t="shared" ca="1" si="25"/>
        <v>182</v>
      </c>
      <c r="Q164" s="23">
        <f t="shared" ca="1" si="26"/>
        <v>149</v>
      </c>
      <c r="R164" s="23">
        <f t="shared" ca="1" si="27"/>
        <v>3</v>
      </c>
      <c r="S164" s="23" t="str">
        <f t="shared" ca="1" si="28"/>
        <v>67/FZ, Zinnia Lane, Kanchipuram, 631501</v>
      </c>
      <c r="T164" s="23">
        <f t="shared" ca="1" si="29"/>
        <v>170</v>
      </c>
      <c r="U164" s="33" t="str">
        <f t="shared" ca="1" si="30"/>
        <v>10%</v>
      </c>
      <c r="V164" s="29">
        <f t="shared" ca="1" si="31"/>
        <v>510</v>
      </c>
      <c r="W164" s="29">
        <f t="shared" ca="1" si="32"/>
        <v>459</v>
      </c>
      <c r="X164" s="23" t="s">
        <v>713</v>
      </c>
      <c r="Y164" s="23"/>
      <c r="Z164" s="23"/>
      <c r="AA164" s="23"/>
      <c r="AB164" s="23"/>
      <c r="AC164" s="24"/>
    </row>
    <row r="165" spans="7:29" x14ac:dyDescent="0.35">
      <c r="G165" s="12">
        <f t="shared" si="33"/>
        <v>162</v>
      </c>
      <c r="H165" s="11" t="s">
        <v>266</v>
      </c>
      <c r="I165" s="11" t="s">
        <v>453</v>
      </c>
      <c r="J165" s="13" t="s">
        <v>640</v>
      </c>
      <c r="L165" s="21">
        <v>162</v>
      </c>
      <c r="M165" s="22">
        <v>44927</v>
      </c>
      <c r="N165" s="23"/>
      <c r="O165" s="23">
        <f t="shared" ca="1" si="24"/>
        <v>17</v>
      </c>
      <c r="P165" s="23">
        <f t="shared" ca="1" si="25"/>
        <v>172</v>
      </c>
      <c r="Q165" s="23">
        <f t="shared" ca="1" si="26"/>
        <v>113</v>
      </c>
      <c r="R165" s="23">
        <f t="shared" ca="1" si="27"/>
        <v>7</v>
      </c>
      <c r="S165" s="23" t="str">
        <f t="shared" ca="1" si="28"/>
        <v>56/FP, Petal Street, Jamalpur, 811214</v>
      </c>
      <c r="T165" s="23">
        <f t="shared" ca="1" si="29"/>
        <v>220</v>
      </c>
      <c r="U165" s="33" t="str">
        <f t="shared" ca="1" si="30"/>
        <v>20%</v>
      </c>
      <c r="V165" s="29">
        <f t="shared" ca="1" si="31"/>
        <v>1540</v>
      </c>
      <c r="W165" s="29">
        <f t="shared" ca="1" si="32"/>
        <v>1232</v>
      </c>
      <c r="X165" s="23" t="s">
        <v>714</v>
      </c>
      <c r="Y165" s="23"/>
      <c r="Z165" s="23"/>
      <c r="AA165" s="23"/>
      <c r="AB165" s="23"/>
      <c r="AC165" s="24"/>
    </row>
    <row r="166" spans="7:29" x14ac:dyDescent="0.35">
      <c r="G166" s="12">
        <f t="shared" si="33"/>
        <v>163</v>
      </c>
      <c r="H166" s="11" t="s">
        <v>267</v>
      </c>
      <c r="I166" s="11" t="s">
        <v>454</v>
      </c>
      <c r="J166" s="13" t="s">
        <v>641</v>
      </c>
      <c r="L166" s="21">
        <v>163</v>
      </c>
      <c r="M166" s="22">
        <v>44927</v>
      </c>
      <c r="N166" s="23"/>
      <c r="O166" s="23">
        <f t="shared" ca="1" si="24"/>
        <v>22</v>
      </c>
      <c r="P166" s="23">
        <f t="shared" ca="1" si="25"/>
        <v>178</v>
      </c>
      <c r="Q166" s="23">
        <f t="shared" ca="1" si="26"/>
        <v>142</v>
      </c>
      <c r="R166" s="23">
        <f t="shared" ca="1" si="27"/>
        <v>2</v>
      </c>
      <c r="S166" s="23" t="str">
        <f t="shared" ca="1" si="28"/>
        <v>78/FV, Verbena Lane, Junagadh, 362001</v>
      </c>
      <c r="T166" s="23">
        <f t="shared" ca="1" si="29"/>
        <v>200</v>
      </c>
      <c r="U166" s="33" t="str">
        <f t="shared" ca="1" si="30"/>
        <v>20%</v>
      </c>
      <c r="V166" s="29">
        <f t="shared" ca="1" si="31"/>
        <v>400</v>
      </c>
      <c r="W166" s="29">
        <f t="shared" ca="1" si="32"/>
        <v>320</v>
      </c>
      <c r="X166" s="23" t="s">
        <v>714</v>
      </c>
      <c r="Y166" s="23"/>
      <c r="Z166" s="23"/>
      <c r="AA166" s="23"/>
      <c r="AB166" s="23"/>
      <c r="AC166" s="24"/>
    </row>
    <row r="167" spans="7:29" x14ac:dyDescent="0.35">
      <c r="G167" s="12">
        <f t="shared" si="33"/>
        <v>164</v>
      </c>
      <c r="H167" s="11" t="s">
        <v>268</v>
      </c>
      <c r="I167" s="11" t="s">
        <v>455</v>
      </c>
      <c r="J167" s="13" t="s">
        <v>642</v>
      </c>
      <c r="L167" s="21">
        <v>164</v>
      </c>
      <c r="M167" s="22">
        <v>44927</v>
      </c>
      <c r="N167" s="23"/>
      <c r="O167" s="23">
        <f t="shared" ca="1" si="24"/>
        <v>52</v>
      </c>
      <c r="P167" s="23">
        <f t="shared" ca="1" si="25"/>
        <v>170</v>
      </c>
      <c r="Q167" s="23">
        <f t="shared" ca="1" si="26"/>
        <v>129</v>
      </c>
      <c r="R167" s="23">
        <f t="shared" ca="1" si="27"/>
        <v>2</v>
      </c>
      <c r="S167" s="23" t="str">
        <f t="shared" ca="1" si="28"/>
        <v>78/FN, Narcissus Street, Jalna, 431203</v>
      </c>
      <c r="T167" s="23">
        <f t="shared" ca="1" si="29"/>
        <v>150</v>
      </c>
      <c r="U167" s="33" t="str">
        <f t="shared" ca="1" si="30"/>
        <v>10%</v>
      </c>
      <c r="V167" s="29">
        <f t="shared" ca="1" si="31"/>
        <v>300</v>
      </c>
      <c r="W167" s="29">
        <f t="shared" ca="1" si="32"/>
        <v>270</v>
      </c>
      <c r="X167" s="23" t="s">
        <v>714</v>
      </c>
      <c r="Y167" s="23"/>
      <c r="Z167" s="23"/>
      <c r="AA167" s="23"/>
      <c r="AB167" s="23"/>
      <c r="AC167" s="24"/>
    </row>
    <row r="168" spans="7:29" x14ac:dyDescent="0.35">
      <c r="G168" s="12">
        <f t="shared" si="33"/>
        <v>165</v>
      </c>
      <c r="H168" s="11" t="s">
        <v>269</v>
      </c>
      <c r="I168" s="11" t="s">
        <v>456</v>
      </c>
      <c r="J168" s="13" t="s">
        <v>643</v>
      </c>
      <c r="L168" s="21">
        <v>165</v>
      </c>
      <c r="M168" s="22">
        <v>44927</v>
      </c>
      <c r="N168" s="23"/>
      <c r="O168" s="23">
        <f t="shared" ca="1" si="24"/>
        <v>44</v>
      </c>
      <c r="P168" s="23">
        <f t="shared" ca="1" si="25"/>
        <v>133</v>
      </c>
      <c r="Q168" s="23">
        <f t="shared" ca="1" si="26"/>
        <v>108</v>
      </c>
      <c r="R168" s="23">
        <f t="shared" ca="1" si="27"/>
        <v>3</v>
      </c>
      <c r="S168" s="23" t="str">
        <f t="shared" ca="1" si="28"/>
        <v>23/EC, Camellia Avenue, Chapra, 841301</v>
      </c>
      <c r="T168" s="23">
        <f t="shared" ca="1" si="29"/>
        <v>40</v>
      </c>
      <c r="U168" s="33" t="str">
        <f t="shared" ca="1" si="30"/>
        <v>0</v>
      </c>
      <c r="V168" s="29">
        <f t="shared" ca="1" si="31"/>
        <v>120</v>
      </c>
      <c r="W168" s="29">
        <f t="shared" ca="1" si="32"/>
        <v>120</v>
      </c>
      <c r="X168" s="23" t="s">
        <v>714</v>
      </c>
      <c r="Y168" s="23"/>
      <c r="Z168" s="23"/>
      <c r="AA168" s="23"/>
      <c r="AB168" s="23"/>
      <c r="AC168" s="24"/>
    </row>
    <row r="169" spans="7:29" x14ac:dyDescent="0.35">
      <c r="G169" s="12">
        <f t="shared" si="33"/>
        <v>166</v>
      </c>
      <c r="H169" s="11" t="s">
        <v>270</v>
      </c>
      <c r="I169" s="11" t="s">
        <v>457</v>
      </c>
      <c r="J169" s="13" t="s">
        <v>644</v>
      </c>
      <c r="L169" s="21">
        <v>166</v>
      </c>
      <c r="M169" s="22">
        <v>44927</v>
      </c>
      <c r="N169" s="23"/>
      <c r="O169" s="23">
        <f t="shared" ca="1" si="24"/>
        <v>42</v>
      </c>
      <c r="P169" s="23">
        <f t="shared" ca="1" si="25"/>
        <v>179</v>
      </c>
      <c r="Q169" s="23">
        <f t="shared" ca="1" si="26"/>
        <v>162</v>
      </c>
      <c r="R169" s="23">
        <f t="shared" ca="1" si="27"/>
        <v>2</v>
      </c>
      <c r="S169" s="23" t="str">
        <f t="shared" ca="1" si="28"/>
        <v>45/FW, Water Lily Street, Kadapa, 516001</v>
      </c>
      <c r="T169" s="23">
        <f t="shared" ca="1" si="29"/>
        <v>30</v>
      </c>
      <c r="U169" s="33" t="str">
        <f t="shared" ca="1" si="30"/>
        <v>0</v>
      </c>
      <c r="V169" s="29">
        <f t="shared" ca="1" si="31"/>
        <v>60</v>
      </c>
      <c r="W169" s="29">
        <f t="shared" ca="1" si="32"/>
        <v>60</v>
      </c>
      <c r="X169" s="23" t="s">
        <v>714</v>
      </c>
      <c r="Y169" s="23"/>
      <c r="Z169" s="23"/>
      <c r="AA169" s="23"/>
      <c r="AB169" s="23"/>
      <c r="AC169" s="24"/>
    </row>
    <row r="170" spans="7:29" x14ac:dyDescent="0.35">
      <c r="G170" s="12">
        <f t="shared" si="33"/>
        <v>167</v>
      </c>
      <c r="H170" s="11" t="s">
        <v>271</v>
      </c>
      <c r="I170" s="11" t="s">
        <v>458</v>
      </c>
      <c r="J170" s="13" t="s">
        <v>645</v>
      </c>
      <c r="L170" s="21">
        <v>167</v>
      </c>
      <c r="M170" s="22">
        <v>44927</v>
      </c>
      <c r="N170" s="23"/>
      <c r="O170" s="23">
        <f t="shared" ca="1" si="24"/>
        <v>85</v>
      </c>
      <c r="P170" s="23">
        <f t="shared" ca="1" si="25"/>
        <v>174</v>
      </c>
      <c r="Q170" s="23">
        <f t="shared" ca="1" si="26"/>
        <v>114</v>
      </c>
      <c r="R170" s="23">
        <f t="shared" ca="1" si="27"/>
        <v>5</v>
      </c>
      <c r="S170" s="23" t="str">
        <f t="shared" ca="1" si="28"/>
        <v>67/FR, Rosewood Lane, Jamshedpur, 831001</v>
      </c>
      <c r="T170" s="23">
        <f t="shared" ca="1" si="29"/>
        <v>40</v>
      </c>
      <c r="U170" s="33" t="str">
        <f t="shared" ca="1" si="30"/>
        <v>0</v>
      </c>
      <c r="V170" s="29">
        <f t="shared" ca="1" si="31"/>
        <v>200</v>
      </c>
      <c r="W170" s="29">
        <f t="shared" ca="1" si="32"/>
        <v>200</v>
      </c>
      <c r="X170" s="23" t="s">
        <v>714</v>
      </c>
      <c r="Y170" s="23"/>
      <c r="Z170" s="23"/>
      <c r="AA170" s="23"/>
      <c r="AB170" s="23"/>
      <c r="AC170" s="24"/>
    </row>
    <row r="171" spans="7:29" x14ac:dyDescent="0.35">
      <c r="G171" s="12">
        <f t="shared" si="33"/>
        <v>168</v>
      </c>
      <c r="H171" s="11" t="s">
        <v>272</v>
      </c>
      <c r="I171" s="11" t="s">
        <v>459</v>
      </c>
      <c r="J171" s="13" t="s">
        <v>646</v>
      </c>
      <c r="L171" s="21">
        <v>168</v>
      </c>
      <c r="M171" s="22">
        <v>44927</v>
      </c>
      <c r="N171" s="23"/>
      <c r="O171" s="23">
        <f t="shared" ca="1" si="24"/>
        <v>79</v>
      </c>
      <c r="P171" s="23">
        <f t="shared" ca="1" si="25"/>
        <v>52</v>
      </c>
      <c r="Q171" s="23">
        <f t="shared" ca="1" si="26"/>
        <v>165</v>
      </c>
      <c r="R171" s="23">
        <f t="shared" ca="1" si="27"/>
        <v>4</v>
      </c>
      <c r="S171" s="23" t="str">
        <f t="shared" ca="1" si="28"/>
        <v>56/AZ, Zinnia Road, Bilaspur, 495001</v>
      </c>
      <c r="T171" s="23">
        <f t="shared" ca="1" si="29"/>
        <v>90</v>
      </c>
      <c r="U171" s="33" t="str">
        <f t="shared" ca="1" si="30"/>
        <v>0</v>
      </c>
      <c r="V171" s="29">
        <f t="shared" ca="1" si="31"/>
        <v>360</v>
      </c>
      <c r="W171" s="29">
        <f t="shared" ca="1" si="32"/>
        <v>360</v>
      </c>
      <c r="X171" s="23" t="s">
        <v>714</v>
      </c>
      <c r="Y171" s="23"/>
      <c r="Z171" s="23"/>
      <c r="AA171" s="23"/>
      <c r="AB171" s="23"/>
      <c r="AC171" s="24"/>
    </row>
    <row r="172" spans="7:29" x14ac:dyDescent="0.35">
      <c r="G172" s="12">
        <f t="shared" si="33"/>
        <v>169</v>
      </c>
      <c r="H172" s="11" t="s">
        <v>273</v>
      </c>
      <c r="I172" s="11" t="s">
        <v>460</v>
      </c>
      <c r="J172" s="13" t="s">
        <v>647</v>
      </c>
      <c r="L172" s="21">
        <v>169</v>
      </c>
      <c r="M172" s="22">
        <v>44927</v>
      </c>
      <c r="N172" s="23"/>
      <c r="O172" s="23">
        <f t="shared" ca="1" si="24"/>
        <v>73</v>
      </c>
      <c r="P172" s="23">
        <f t="shared" ca="1" si="25"/>
        <v>144</v>
      </c>
      <c r="Q172" s="23">
        <f t="shared" ca="1" si="26"/>
        <v>138</v>
      </c>
      <c r="R172" s="23">
        <f t="shared" ca="1" si="27"/>
        <v>10</v>
      </c>
      <c r="S172" s="23" t="str">
        <f t="shared" ca="1" si="28"/>
        <v>78/EN, Narcissus Lane, Erode, 638001</v>
      </c>
      <c r="T172" s="23">
        <f t="shared" ca="1" si="29"/>
        <v>80</v>
      </c>
      <c r="U172" s="33" t="str">
        <f t="shared" ca="1" si="30"/>
        <v>0</v>
      </c>
      <c r="V172" s="29">
        <f t="shared" ca="1" si="31"/>
        <v>800</v>
      </c>
      <c r="W172" s="29">
        <f t="shared" ca="1" si="32"/>
        <v>800</v>
      </c>
      <c r="X172" s="23" t="s">
        <v>714</v>
      </c>
      <c r="Y172" s="23"/>
      <c r="Z172" s="23"/>
      <c r="AA172" s="23"/>
      <c r="AB172" s="23"/>
      <c r="AC172" s="24"/>
    </row>
    <row r="173" spans="7:29" x14ac:dyDescent="0.35">
      <c r="G173" s="12">
        <f t="shared" si="33"/>
        <v>170</v>
      </c>
      <c r="H173" s="11" t="s">
        <v>274</v>
      </c>
      <c r="I173" s="11" t="s">
        <v>461</v>
      </c>
      <c r="J173" s="13" t="s">
        <v>648</v>
      </c>
      <c r="L173" s="21">
        <v>170</v>
      </c>
      <c r="M173" s="22">
        <v>44927</v>
      </c>
      <c r="N173" s="23"/>
      <c r="O173" s="23">
        <f t="shared" ca="1" si="24"/>
        <v>21</v>
      </c>
      <c r="P173" s="23">
        <f t="shared" ca="1" si="25"/>
        <v>36</v>
      </c>
      <c r="Q173" s="23">
        <f t="shared" ca="1" si="26"/>
        <v>166</v>
      </c>
      <c r="R173" s="23">
        <f t="shared" ca="1" si="27"/>
        <v>2</v>
      </c>
      <c r="S173" s="23" t="str">
        <f t="shared" ca="1" si="28"/>
        <v>56/AJ, Jasmine Lane, Gurgaon, 122001</v>
      </c>
      <c r="T173" s="23">
        <f t="shared" ca="1" si="29"/>
        <v>220</v>
      </c>
      <c r="U173" s="33" t="str">
        <f t="shared" ca="1" si="30"/>
        <v>20%</v>
      </c>
      <c r="V173" s="29">
        <f t="shared" ca="1" si="31"/>
        <v>440</v>
      </c>
      <c r="W173" s="29">
        <f t="shared" ca="1" si="32"/>
        <v>352</v>
      </c>
      <c r="X173" s="23" t="s">
        <v>713</v>
      </c>
      <c r="Y173" s="23"/>
      <c r="Z173" s="23"/>
      <c r="AA173" s="23"/>
      <c r="AB173" s="23"/>
      <c r="AC173" s="24"/>
    </row>
    <row r="174" spans="7:29" x14ac:dyDescent="0.35">
      <c r="G174" s="12">
        <f t="shared" si="33"/>
        <v>171</v>
      </c>
      <c r="H174" s="11" t="s">
        <v>275</v>
      </c>
      <c r="I174" s="11" t="s">
        <v>462</v>
      </c>
      <c r="J174" s="13" t="s">
        <v>649</v>
      </c>
      <c r="L174" s="21">
        <v>171</v>
      </c>
      <c r="M174" s="22">
        <v>44927</v>
      </c>
      <c r="N174" s="23"/>
      <c r="O174" s="23">
        <f t="shared" ca="1" si="24"/>
        <v>30</v>
      </c>
      <c r="P174" s="23">
        <f t="shared" ca="1" si="25"/>
        <v>125</v>
      </c>
      <c r="Q174" s="23">
        <f t="shared" ca="1" si="26"/>
        <v>140</v>
      </c>
      <c r="R174" s="23">
        <f t="shared" ca="1" si="27"/>
        <v>8</v>
      </c>
      <c r="S174" s="23" t="str">
        <f t="shared" ca="1" si="28"/>
        <v>23/DU, Utopia Lane, Bhilai, 490001</v>
      </c>
      <c r="T174" s="23">
        <f t="shared" ca="1" si="29"/>
        <v>250</v>
      </c>
      <c r="U174" s="33" t="str">
        <f t="shared" ca="1" si="30"/>
        <v>20%</v>
      </c>
      <c r="V174" s="29">
        <f t="shared" ca="1" si="31"/>
        <v>2000</v>
      </c>
      <c r="W174" s="29">
        <f t="shared" ca="1" si="32"/>
        <v>1600</v>
      </c>
      <c r="X174" s="23" t="s">
        <v>713</v>
      </c>
      <c r="Y174" s="23"/>
      <c r="Z174" s="23"/>
      <c r="AA174" s="23"/>
      <c r="AB174" s="23"/>
      <c r="AC174" s="24"/>
    </row>
    <row r="175" spans="7:29" x14ac:dyDescent="0.35">
      <c r="G175" s="12">
        <f t="shared" si="33"/>
        <v>172</v>
      </c>
      <c r="H175" s="11" t="s">
        <v>276</v>
      </c>
      <c r="I175" s="11" t="s">
        <v>463</v>
      </c>
      <c r="J175" s="13" t="s">
        <v>650</v>
      </c>
      <c r="L175" s="21">
        <v>172</v>
      </c>
      <c r="M175" s="22">
        <v>44927</v>
      </c>
      <c r="N175" s="23"/>
      <c r="O175" s="23">
        <f t="shared" ca="1" si="24"/>
        <v>98</v>
      </c>
      <c r="P175" s="23">
        <f t="shared" ca="1" si="25"/>
        <v>94</v>
      </c>
      <c r="Q175" s="23">
        <f t="shared" ca="1" si="26"/>
        <v>105</v>
      </c>
      <c r="R175" s="23">
        <f t="shared" ca="1" si="27"/>
        <v>5</v>
      </c>
      <c r="S175" s="23" t="str">
        <f t="shared" ca="1" si="28"/>
        <v>67/CP, Petunia Street, Surat, 395001</v>
      </c>
      <c r="T175" s="23">
        <f t="shared" ca="1" si="29"/>
        <v>80</v>
      </c>
      <c r="U175" s="33" t="str">
        <f t="shared" ca="1" si="30"/>
        <v>0</v>
      </c>
      <c r="V175" s="29">
        <f t="shared" ca="1" si="31"/>
        <v>400</v>
      </c>
      <c r="W175" s="29">
        <f t="shared" ca="1" si="32"/>
        <v>400</v>
      </c>
      <c r="X175" s="23" t="s">
        <v>713</v>
      </c>
      <c r="Y175" s="23"/>
      <c r="Z175" s="23"/>
      <c r="AA175" s="23"/>
      <c r="AB175" s="23"/>
      <c r="AC175" s="24"/>
    </row>
    <row r="176" spans="7:29" x14ac:dyDescent="0.35">
      <c r="G176" s="12">
        <f t="shared" si="33"/>
        <v>173</v>
      </c>
      <c r="H176" s="11" t="s">
        <v>277</v>
      </c>
      <c r="I176" s="11" t="s">
        <v>464</v>
      </c>
      <c r="J176" s="13" t="s">
        <v>651</v>
      </c>
      <c r="L176" s="21">
        <v>173</v>
      </c>
      <c r="M176" s="22">
        <v>44927</v>
      </c>
      <c r="N176" s="23"/>
      <c r="O176" s="23">
        <f t="shared" ca="1" si="24"/>
        <v>99</v>
      </c>
      <c r="P176" s="23">
        <f t="shared" ca="1" si="25"/>
        <v>67</v>
      </c>
      <c r="Q176" s="23">
        <f t="shared" ca="1" si="26"/>
        <v>156</v>
      </c>
      <c r="R176" s="23">
        <f t="shared" ca="1" si="27"/>
        <v>9</v>
      </c>
      <c r="S176" s="23" t="str">
        <f t="shared" ca="1" si="28"/>
        <v>45/BO, Orchid Street, Vatakara, 673101</v>
      </c>
      <c r="T176" s="23">
        <f t="shared" ca="1" si="29"/>
        <v>80</v>
      </c>
      <c r="U176" s="33" t="str">
        <f t="shared" ca="1" si="30"/>
        <v>0</v>
      </c>
      <c r="V176" s="29">
        <f t="shared" ca="1" si="31"/>
        <v>720</v>
      </c>
      <c r="W176" s="29">
        <f t="shared" ca="1" si="32"/>
        <v>720</v>
      </c>
      <c r="X176" s="23" t="s">
        <v>713</v>
      </c>
      <c r="Y176" s="23"/>
      <c r="Z176" s="23"/>
      <c r="AA176" s="23"/>
      <c r="AB176" s="23"/>
      <c r="AC176" s="24"/>
    </row>
    <row r="177" spans="7:29" x14ac:dyDescent="0.35">
      <c r="G177" s="12">
        <f t="shared" si="33"/>
        <v>174</v>
      </c>
      <c r="H177" s="11" t="s">
        <v>235</v>
      </c>
      <c r="I177" s="11" t="s">
        <v>465</v>
      </c>
      <c r="J177" s="13" t="s">
        <v>652</v>
      </c>
      <c r="L177" s="21">
        <v>174</v>
      </c>
      <c r="M177" s="22">
        <v>44927</v>
      </c>
      <c r="N177" s="23"/>
      <c r="O177" s="23">
        <f t="shared" ca="1" si="24"/>
        <v>84</v>
      </c>
      <c r="P177" s="23">
        <f t="shared" ca="1" si="25"/>
        <v>129</v>
      </c>
      <c r="Q177" s="23">
        <f t="shared" ca="1" si="26"/>
        <v>152</v>
      </c>
      <c r="R177" s="23">
        <f t="shared" ca="1" si="27"/>
        <v>6</v>
      </c>
      <c r="S177" s="23" t="str">
        <f t="shared" ca="1" si="28"/>
        <v>89/DY, Yarrow Lane, Bikaner, 334001</v>
      </c>
      <c r="T177" s="23">
        <f t="shared" ca="1" si="29"/>
        <v>40</v>
      </c>
      <c r="U177" s="33" t="str">
        <f t="shared" ca="1" si="30"/>
        <v>0</v>
      </c>
      <c r="V177" s="29">
        <f t="shared" ca="1" si="31"/>
        <v>240</v>
      </c>
      <c r="W177" s="29">
        <f t="shared" ca="1" si="32"/>
        <v>240</v>
      </c>
      <c r="X177" s="23" t="s">
        <v>713</v>
      </c>
      <c r="Y177" s="23"/>
      <c r="Z177" s="23"/>
      <c r="AA177" s="23"/>
      <c r="AB177" s="23"/>
      <c r="AC177" s="24"/>
    </row>
    <row r="178" spans="7:29" x14ac:dyDescent="0.35">
      <c r="G178" s="12">
        <f t="shared" si="33"/>
        <v>175</v>
      </c>
      <c r="H178" s="11" t="s">
        <v>278</v>
      </c>
      <c r="I178" s="11" t="s">
        <v>466</v>
      </c>
      <c r="J178" s="13" t="s">
        <v>653</v>
      </c>
      <c r="L178" s="21">
        <v>175</v>
      </c>
      <c r="M178" s="22">
        <v>44927</v>
      </c>
      <c r="N178" s="23"/>
      <c r="O178" s="23">
        <f t="shared" ca="1" si="24"/>
        <v>92</v>
      </c>
      <c r="P178" s="23">
        <f t="shared" ca="1" si="25"/>
        <v>103</v>
      </c>
      <c r="Q178" s="23">
        <f t="shared" ca="1" si="26"/>
        <v>166</v>
      </c>
      <c r="R178" s="23">
        <f t="shared" ca="1" si="27"/>
        <v>7</v>
      </c>
      <c r="S178" s="23" t="str">
        <f t="shared" ca="1" si="28"/>
        <v>34/CY, Yew Road, Valsad, 396001</v>
      </c>
      <c r="T178" s="23">
        <f t="shared" ca="1" si="29"/>
        <v>110</v>
      </c>
      <c r="U178" s="33" t="str">
        <f t="shared" ca="1" si="30"/>
        <v>5%</v>
      </c>
      <c r="V178" s="29">
        <f t="shared" ca="1" si="31"/>
        <v>770</v>
      </c>
      <c r="W178" s="29">
        <f t="shared" ca="1" si="32"/>
        <v>731.5</v>
      </c>
      <c r="X178" s="23" t="s">
        <v>713</v>
      </c>
      <c r="Y178" s="23"/>
      <c r="Z178" s="23"/>
      <c r="AA178" s="23"/>
      <c r="AB178" s="23"/>
      <c r="AC178" s="24"/>
    </row>
    <row r="179" spans="7:29" x14ac:dyDescent="0.35">
      <c r="G179" s="12">
        <f t="shared" si="33"/>
        <v>176</v>
      </c>
      <c r="H179" s="11" t="s">
        <v>279</v>
      </c>
      <c r="I179" s="11" t="s">
        <v>467</v>
      </c>
      <c r="J179" s="13" t="s">
        <v>654</v>
      </c>
      <c r="L179" s="21">
        <v>176</v>
      </c>
      <c r="M179" s="22">
        <v>44927</v>
      </c>
      <c r="N179" s="23"/>
      <c r="O179" s="23">
        <f t="shared" ca="1" si="24"/>
        <v>2</v>
      </c>
      <c r="P179" s="23">
        <f t="shared" ca="1" si="25"/>
        <v>144</v>
      </c>
      <c r="Q179" s="23">
        <f t="shared" ca="1" si="26"/>
        <v>133</v>
      </c>
      <c r="R179" s="23">
        <f t="shared" ca="1" si="27"/>
        <v>6</v>
      </c>
      <c r="S179" s="23" t="str">
        <f t="shared" ca="1" si="28"/>
        <v>78/EN, Narcissus Lane, Erode, 638001</v>
      </c>
      <c r="T179" s="23">
        <f t="shared" ca="1" si="29"/>
        <v>180</v>
      </c>
      <c r="U179" s="33" t="str">
        <f t="shared" ca="1" si="30"/>
        <v>10%</v>
      </c>
      <c r="V179" s="29">
        <f t="shared" ca="1" si="31"/>
        <v>1080</v>
      </c>
      <c r="W179" s="29">
        <f t="shared" ca="1" si="32"/>
        <v>972</v>
      </c>
      <c r="X179" s="23" t="s">
        <v>713</v>
      </c>
      <c r="Y179" s="23"/>
      <c r="Z179" s="23"/>
      <c r="AA179" s="23"/>
      <c r="AB179" s="23"/>
      <c r="AC179" s="24"/>
    </row>
    <row r="180" spans="7:29" x14ac:dyDescent="0.35">
      <c r="G180" s="12">
        <f t="shared" si="33"/>
        <v>177</v>
      </c>
      <c r="H180" s="11" t="s">
        <v>280</v>
      </c>
      <c r="I180" s="11" t="s">
        <v>468</v>
      </c>
      <c r="J180" s="13" t="s">
        <v>655</v>
      </c>
      <c r="L180" s="21">
        <v>177</v>
      </c>
      <c r="M180" s="22">
        <v>44927</v>
      </c>
      <c r="N180" s="23"/>
      <c r="O180" s="23">
        <f t="shared" ca="1" si="24"/>
        <v>11</v>
      </c>
      <c r="P180" s="23">
        <f t="shared" ca="1" si="25"/>
        <v>63</v>
      </c>
      <c r="Q180" s="23">
        <f t="shared" ca="1" si="26"/>
        <v>100</v>
      </c>
      <c r="R180" s="23">
        <f t="shared" ca="1" si="27"/>
        <v>10</v>
      </c>
      <c r="S180" s="23" t="str">
        <f t="shared" ca="1" si="28"/>
        <v>34/BK, Kale Road, Thanjavur, 613001</v>
      </c>
      <c r="T180" s="23">
        <f t="shared" ca="1" si="29"/>
        <v>180</v>
      </c>
      <c r="U180" s="33" t="str">
        <f t="shared" ca="1" si="30"/>
        <v>10%</v>
      </c>
      <c r="V180" s="29">
        <f t="shared" ca="1" si="31"/>
        <v>1800</v>
      </c>
      <c r="W180" s="29">
        <f t="shared" ca="1" si="32"/>
        <v>1620</v>
      </c>
      <c r="X180" s="23" t="s">
        <v>713</v>
      </c>
      <c r="Y180" s="23"/>
      <c r="Z180" s="23"/>
      <c r="AA180" s="23"/>
      <c r="AB180" s="23"/>
      <c r="AC180" s="24"/>
    </row>
    <row r="181" spans="7:29" x14ac:dyDescent="0.35">
      <c r="G181" s="12">
        <f t="shared" si="33"/>
        <v>178</v>
      </c>
      <c r="H181" s="11" t="s">
        <v>281</v>
      </c>
      <c r="I181" s="11" t="s">
        <v>469</v>
      </c>
      <c r="J181" s="13" t="s">
        <v>656</v>
      </c>
      <c r="L181" s="21">
        <v>178</v>
      </c>
      <c r="M181" s="22">
        <v>44927</v>
      </c>
      <c r="N181" s="23"/>
      <c r="O181" s="23">
        <f t="shared" ca="1" si="24"/>
        <v>39</v>
      </c>
      <c r="P181" s="23">
        <f t="shared" ca="1" si="25"/>
        <v>110</v>
      </c>
      <c r="Q181" s="23">
        <f t="shared" ca="1" si="26"/>
        <v>135</v>
      </c>
      <c r="R181" s="23">
        <f t="shared" ca="1" si="27"/>
        <v>7</v>
      </c>
      <c r="S181" s="23" t="str">
        <f t="shared" ca="1" si="28"/>
        <v>67/DF, Frangipani Road, Yavatmal, 445001</v>
      </c>
      <c r="T181" s="23">
        <f t="shared" ca="1" si="29"/>
        <v>250</v>
      </c>
      <c r="U181" s="33" t="str">
        <f t="shared" ca="1" si="30"/>
        <v>20%</v>
      </c>
      <c r="V181" s="29">
        <f t="shared" ca="1" si="31"/>
        <v>1750</v>
      </c>
      <c r="W181" s="29">
        <f t="shared" ca="1" si="32"/>
        <v>1400</v>
      </c>
      <c r="X181" s="23" t="s">
        <v>714</v>
      </c>
      <c r="Y181" s="23"/>
      <c r="Z181" s="23"/>
      <c r="AA181" s="23"/>
      <c r="AB181" s="23"/>
      <c r="AC181" s="24"/>
    </row>
    <row r="182" spans="7:29" x14ac:dyDescent="0.35">
      <c r="G182" s="12">
        <f t="shared" si="33"/>
        <v>179</v>
      </c>
      <c r="H182" s="11" t="s">
        <v>282</v>
      </c>
      <c r="I182" s="11" t="s">
        <v>470</v>
      </c>
      <c r="J182" s="13" t="s">
        <v>657</v>
      </c>
      <c r="L182" s="21">
        <v>179</v>
      </c>
      <c r="M182" s="22">
        <v>44927</v>
      </c>
      <c r="N182" s="23"/>
      <c r="O182" s="23">
        <f t="shared" ca="1" si="24"/>
        <v>31</v>
      </c>
      <c r="P182" s="23">
        <f t="shared" ca="1" si="25"/>
        <v>113</v>
      </c>
      <c r="Q182" s="23">
        <f t="shared" ca="1" si="26"/>
        <v>137</v>
      </c>
      <c r="R182" s="23">
        <f t="shared" ca="1" si="27"/>
        <v>7</v>
      </c>
      <c r="S182" s="23" t="str">
        <f t="shared" ca="1" si="28"/>
        <v>89/DI, Ixora Avenue, Aligarh, 202001</v>
      </c>
      <c r="T182" s="23">
        <f t="shared" ca="1" si="29"/>
        <v>190</v>
      </c>
      <c r="U182" s="33" t="str">
        <f t="shared" ca="1" si="30"/>
        <v>10%</v>
      </c>
      <c r="V182" s="29">
        <f t="shared" ca="1" si="31"/>
        <v>1330</v>
      </c>
      <c r="W182" s="29">
        <f t="shared" ca="1" si="32"/>
        <v>1197</v>
      </c>
      <c r="X182" s="23" t="s">
        <v>714</v>
      </c>
      <c r="Y182" s="23"/>
      <c r="Z182" s="23"/>
      <c r="AA182" s="23"/>
      <c r="AB182" s="23"/>
      <c r="AC182" s="24"/>
    </row>
    <row r="183" spans="7:29" x14ac:dyDescent="0.35">
      <c r="G183" s="12">
        <f t="shared" si="33"/>
        <v>180</v>
      </c>
      <c r="H183" s="11" t="s">
        <v>283</v>
      </c>
      <c r="I183" s="11" t="s">
        <v>471</v>
      </c>
      <c r="J183" s="13" t="s">
        <v>658</v>
      </c>
      <c r="L183" s="21">
        <v>180</v>
      </c>
      <c r="M183" s="22">
        <v>44927</v>
      </c>
      <c r="N183" s="23"/>
      <c r="O183" s="23">
        <f t="shared" ca="1" si="24"/>
        <v>39</v>
      </c>
      <c r="P183" s="23">
        <f t="shared" ca="1" si="25"/>
        <v>68</v>
      </c>
      <c r="Q183" s="23">
        <f t="shared" ca="1" si="26"/>
        <v>161</v>
      </c>
      <c r="R183" s="23">
        <f t="shared" ca="1" si="27"/>
        <v>3</v>
      </c>
      <c r="S183" s="23" t="str">
        <f t="shared" ca="1" si="28"/>
        <v>56/BP, Petal Lane, Vrindavan, 281121</v>
      </c>
      <c r="T183" s="23">
        <f t="shared" ca="1" si="29"/>
        <v>250</v>
      </c>
      <c r="U183" s="33" t="str">
        <f t="shared" ca="1" si="30"/>
        <v>20%</v>
      </c>
      <c r="V183" s="29">
        <f t="shared" ca="1" si="31"/>
        <v>750</v>
      </c>
      <c r="W183" s="29">
        <f t="shared" ca="1" si="32"/>
        <v>600</v>
      </c>
      <c r="X183" s="23" t="s">
        <v>714</v>
      </c>
      <c r="Y183" s="23"/>
      <c r="Z183" s="23"/>
      <c r="AA183" s="23"/>
      <c r="AB183" s="23"/>
      <c r="AC183" s="24"/>
    </row>
    <row r="184" spans="7:29" x14ac:dyDescent="0.35">
      <c r="G184" s="12">
        <f t="shared" si="33"/>
        <v>181</v>
      </c>
      <c r="H184" s="11" t="s">
        <v>284</v>
      </c>
      <c r="I184" s="11" t="s">
        <v>472</v>
      </c>
      <c r="J184" s="13" t="s">
        <v>659</v>
      </c>
      <c r="L184" s="21">
        <v>181</v>
      </c>
      <c r="M184" s="22">
        <v>44927</v>
      </c>
      <c r="N184" s="23"/>
      <c r="O184" s="23">
        <f t="shared" ca="1" si="24"/>
        <v>11</v>
      </c>
      <c r="P184" s="23">
        <f t="shared" ca="1" si="25"/>
        <v>173</v>
      </c>
      <c r="Q184" s="23">
        <f t="shared" ca="1" si="26"/>
        <v>165</v>
      </c>
      <c r="R184" s="23">
        <f t="shared" ca="1" si="27"/>
        <v>2</v>
      </c>
      <c r="S184" s="23" t="str">
        <f t="shared" ca="1" si="28"/>
        <v>23/FQ, Quince Road, Jamnagar, 361001</v>
      </c>
      <c r="T184" s="23">
        <f t="shared" ca="1" si="29"/>
        <v>180</v>
      </c>
      <c r="U184" s="33" t="str">
        <f t="shared" ca="1" si="30"/>
        <v>10%</v>
      </c>
      <c r="V184" s="29">
        <f t="shared" ca="1" si="31"/>
        <v>360</v>
      </c>
      <c r="W184" s="29">
        <f t="shared" ca="1" si="32"/>
        <v>324</v>
      </c>
      <c r="X184" s="23" t="s">
        <v>714</v>
      </c>
      <c r="Y184" s="23"/>
      <c r="Z184" s="23"/>
      <c r="AA184" s="23"/>
      <c r="AB184" s="23"/>
      <c r="AC184" s="24"/>
    </row>
    <row r="185" spans="7:29" x14ac:dyDescent="0.35">
      <c r="G185" s="12">
        <f t="shared" si="33"/>
        <v>182</v>
      </c>
      <c r="H185" s="11" t="s">
        <v>265</v>
      </c>
      <c r="I185" s="11" t="s">
        <v>473</v>
      </c>
      <c r="J185" s="13" t="s">
        <v>660</v>
      </c>
      <c r="L185" s="21">
        <v>182</v>
      </c>
      <c r="M185" s="22">
        <v>44927</v>
      </c>
      <c r="N185" s="23"/>
      <c r="O185" s="23">
        <f t="shared" ca="1" si="24"/>
        <v>19</v>
      </c>
      <c r="P185" s="23">
        <f t="shared" ca="1" si="25"/>
        <v>129</v>
      </c>
      <c r="Q185" s="23">
        <f t="shared" ca="1" si="26"/>
        <v>152</v>
      </c>
      <c r="R185" s="23">
        <f t="shared" ca="1" si="27"/>
        <v>2</v>
      </c>
      <c r="S185" s="23" t="str">
        <f t="shared" ca="1" si="28"/>
        <v>89/DY, Yarrow Lane, Bikaner, 334001</v>
      </c>
      <c r="T185" s="23">
        <f t="shared" ca="1" si="29"/>
        <v>150</v>
      </c>
      <c r="U185" s="33" t="str">
        <f t="shared" ca="1" si="30"/>
        <v>10%</v>
      </c>
      <c r="V185" s="29">
        <f t="shared" ca="1" si="31"/>
        <v>300</v>
      </c>
      <c r="W185" s="29">
        <f t="shared" ca="1" si="32"/>
        <v>270</v>
      </c>
      <c r="X185" s="23" t="s">
        <v>714</v>
      </c>
      <c r="Y185" s="23"/>
      <c r="Z185" s="23"/>
      <c r="AA185" s="23"/>
      <c r="AB185" s="23"/>
      <c r="AC185" s="24"/>
    </row>
    <row r="186" spans="7:29" x14ac:dyDescent="0.35">
      <c r="G186" s="12">
        <f t="shared" si="33"/>
        <v>183</v>
      </c>
      <c r="H186" s="11" t="s">
        <v>285</v>
      </c>
      <c r="I186" s="11" t="s">
        <v>474</v>
      </c>
      <c r="J186" s="13" t="s">
        <v>661</v>
      </c>
      <c r="L186" s="21">
        <v>183</v>
      </c>
      <c r="M186" s="22">
        <v>44927</v>
      </c>
      <c r="N186" s="23"/>
      <c r="O186" s="23">
        <f t="shared" ca="1" si="24"/>
        <v>40</v>
      </c>
      <c r="P186" s="23">
        <f t="shared" ca="1" si="25"/>
        <v>109</v>
      </c>
      <c r="Q186" s="23">
        <f t="shared" ca="1" si="26"/>
        <v>100</v>
      </c>
      <c r="R186" s="23">
        <f t="shared" ca="1" si="27"/>
        <v>7</v>
      </c>
      <c r="S186" s="23" t="str">
        <f t="shared" ca="1" si="28"/>
        <v>23/DE, Ebony Lane, Yamunanagar, 135001</v>
      </c>
      <c r="T186" s="23">
        <f t="shared" ca="1" si="29"/>
        <v>260</v>
      </c>
      <c r="U186" s="33" t="str">
        <f t="shared" ca="1" si="30"/>
        <v>20%</v>
      </c>
      <c r="V186" s="29">
        <f t="shared" ca="1" si="31"/>
        <v>1820</v>
      </c>
      <c r="W186" s="29">
        <f t="shared" ca="1" si="32"/>
        <v>1456</v>
      </c>
      <c r="X186" s="23" t="s">
        <v>714</v>
      </c>
      <c r="Y186" s="23"/>
      <c r="Z186" s="23"/>
      <c r="AA186" s="23"/>
      <c r="AB186" s="23"/>
      <c r="AC186" s="24"/>
    </row>
    <row r="187" spans="7:29" x14ac:dyDescent="0.35">
      <c r="G187" s="12">
        <f t="shared" si="33"/>
        <v>184</v>
      </c>
      <c r="H187" s="11" t="s">
        <v>286</v>
      </c>
      <c r="I187" s="11" t="s">
        <v>475</v>
      </c>
      <c r="J187" s="13" t="s">
        <v>662</v>
      </c>
      <c r="L187" s="21">
        <v>184</v>
      </c>
      <c r="M187" s="22">
        <v>44927</v>
      </c>
      <c r="N187" s="23"/>
      <c r="O187" s="23">
        <f t="shared" ca="1" si="24"/>
        <v>4</v>
      </c>
      <c r="P187" s="23">
        <f t="shared" ca="1" si="25"/>
        <v>46</v>
      </c>
      <c r="Q187" s="23">
        <f t="shared" ca="1" si="26"/>
        <v>159</v>
      </c>
      <c r="R187" s="23">
        <f t="shared" ca="1" si="27"/>
        <v>7</v>
      </c>
      <c r="S187" s="23" t="str">
        <f t="shared" ca="1" si="28"/>
        <v>67/AT, Tulip Street, Vellore, 632001</v>
      </c>
      <c r="T187" s="23">
        <f t="shared" ca="1" si="29"/>
        <v>200</v>
      </c>
      <c r="U187" s="33" t="str">
        <f t="shared" ca="1" si="30"/>
        <v>20%</v>
      </c>
      <c r="V187" s="29">
        <f t="shared" ca="1" si="31"/>
        <v>1400</v>
      </c>
      <c r="W187" s="29">
        <f t="shared" ca="1" si="32"/>
        <v>1120</v>
      </c>
      <c r="X187" s="23" t="s">
        <v>714</v>
      </c>
      <c r="Y187" s="23"/>
      <c r="Z187" s="23"/>
      <c r="AA187" s="23"/>
      <c r="AB187" s="23"/>
      <c r="AC187" s="24"/>
    </row>
    <row r="188" spans="7:29" x14ac:dyDescent="0.35">
      <c r="G188" s="12">
        <f t="shared" si="33"/>
        <v>185</v>
      </c>
      <c r="H188" s="11" t="s">
        <v>287</v>
      </c>
      <c r="I188" s="11" t="s">
        <v>476</v>
      </c>
      <c r="J188" s="13" t="s">
        <v>663</v>
      </c>
      <c r="L188" s="21">
        <v>185</v>
      </c>
      <c r="M188" s="22">
        <v>44927</v>
      </c>
      <c r="N188" s="23"/>
      <c r="O188" s="23">
        <f t="shared" ca="1" si="24"/>
        <v>90</v>
      </c>
      <c r="P188" s="23">
        <f t="shared" ca="1" si="25"/>
        <v>134</v>
      </c>
      <c r="Q188" s="23">
        <f t="shared" ca="1" si="26"/>
        <v>141</v>
      </c>
      <c r="R188" s="23">
        <f t="shared" ca="1" si="27"/>
        <v>5</v>
      </c>
      <c r="S188" s="23" t="str">
        <f t="shared" ca="1" si="28"/>
        <v>67/ED, Dahlia Road, Chhindwara, 480001</v>
      </c>
      <c r="T188" s="23">
        <f t="shared" ca="1" si="29"/>
        <v>50</v>
      </c>
      <c r="U188" s="33" t="str">
        <f t="shared" ca="1" si="30"/>
        <v>0</v>
      </c>
      <c r="V188" s="29">
        <f t="shared" ca="1" si="31"/>
        <v>250</v>
      </c>
      <c r="W188" s="29">
        <f t="shared" ca="1" si="32"/>
        <v>250</v>
      </c>
      <c r="X188" s="23" t="s">
        <v>714</v>
      </c>
      <c r="Y188" s="23"/>
      <c r="Z188" s="23"/>
      <c r="AA188" s="23"/>
      <c r="AB188" s="23"/>
      <c r="AC188" s="24"/>
    </row>
    <row r="189" spans="7:29" x14ac:dyDescent="0.35">
      <c r="G189" s="12">
        <f t="shared" si="33"/>
        <v>186</v>
      </c>
      <c r="H189" s="11" t="s">
        <v>256</v>
      </c>
      <c r="I189" s="11" t="s">
        <v>477</v>
      </c>
      <c r="J189" s="13" t="s">
        <v>664</v>
      </c>
      <c r="L189" s="21">
        <v>186</v>
      </c>
      <c r="M189" s="22">
        <v>44927</v>
      </c>
      <c r="N189" s="23"/>
      <c r="O189" s="23">
        <f t="shared" ca="1" si="24"/>
        <v>29</v>
      </c>
      <c r="P189" s="23">
        <f t="shared" ca="1" si="25"/>
        <v>49</v>
      </c>
      <c r="Q189" s="23">
        <f t="shared" ca="1" si="26"/>
        <v>121</v>
      </c>
      <c r="R189" s="23">
        <f t="shared" ca="1" si="27"/>
        <v>1</v>
      </c>
      <c r="S189" s="23" t="str">
        <f t="shared" ca="1" si="28"/>
        <v>89/AW, Water Lily Avenue, Bareilly, 243001</v>
      </c>
      <c r="T189" s="23">
        <f t="shared" ca="1" si="29"/>
        <v>200</v>
      </c>
      <c r="U189" s="33" t="str">
        <f t="shared" ca="1" si="30"/>
        <v>20%</v>
      </c>
      <c r="V189" s="29">
        <f t="shared" ca="1" si="31"/>
        <v>200</v>
      </c>
      <c r="W189" s="29">
        <f t="shared" ca="1" si="32"/>
        <v>160</v>
      </c>
      <c r="X189" s="23" t="s">
        <v>713</v>
      </c>
      <c r="Y189" s="23"/>
      <c r="Z189" s="23"/>
      <c r="AA189" s="23"/>
      <c r="AB189" s="23"/>
      <c r="AC189" s="24"/>
    </row>
    <row r="190" spans="7:29" ht="15" thickBot="1" x14ac:dyDescent="0.4">
      <c r="G190" s="14">
        <f t="shared" si="33"/>
        <v>187</v>
      </c>
      <c r="H190" s="15" t="s">
        <v>257</v>
      </c>
      <c r="I190" s="15" t="s">
        <v>478</v>
      </c>
      <c r="J190" s="16" t="s">
        <v>665</v>
      </c>
      <c r="L190" s="21">
        <v>187</v>
      </c>
      <c r="M190" s="22">
        <v>44927</v>
      </c>
      <c r="N190" s="23"/>
      <c r="O190" s="23">
        <f t="shared" ca="1" si="24"/>
        <v>45</v>
      </c>
      <c r="P190" s="23">
        <f t="shared" ca="1" si="25"/>
        <v>35</v>
      </c>
      <c r="Q190" s="23">
        <f t="shared" ca="1" si="26"/>
        <v>149</v>
      </c>
      <c r="R190" s="23">
        <f t="shared" ca="1" si="27"/>
        <v>5</v>
      </c>
      <c r="S190" s="23" t="str">
        <f t="shared" ca="1" si="28"/>
        <v>45/AI, Iris Street, Noida, 201301</v>
      </c>
      <c r="T190" s="23">
        <f t="shared" ca="1" si="29"/>
        <v>50</v>
      </c>
      <c r="U190" s="33" t="str">
        <f t="shared" ca="1" si="30"/>
        <v>0</v>
      </c>
      <c r="V190" s="29">
        <f t="shared" ca="1" si="31"/>
        <v>250</v>
      </c>
      <c r="W190" s="29">
        <f t="shared" ca="1" si="32"/>
        <v>250</v>
      </c>
      <c r="X190" s="23" t="s">
        <v>713</v>
      </c>
      <c r="Y190" s="23"/>
      <c r="Z190" s="23"/>
      <c r="AA190" s="23"/>
      <c r="AB190" s="23"/>
      <c r="AC190" s="24"/>
    </row>
    <row r="191" spans="7:29" x14ac:dyDescent="0.35">
      <c r="I191" s="1"/>
      <c r="L191" s="21">
        <v>188</v>
      </c>
      <c r="M191" s="22">
        <v>44927</v>
      </c>
      <c r="N191" s="23"/>
      <c r="O191" s="23">
        <f t="shared" ca="1" si="24"/>
        <v>5</v>
      </c>
      <c r="P191" s="23">
        <f t="shared" ca="1" si="25"/>
        <v>172</v>
      </c>
      <c r="Q191" s="23">
        <f t="shared" ca="1" si="26"/>
        <v>161</v>
      </c>
      <c r="R191" s="23">
        <f t="shared" ca="1" si="27"/>
        <v>3</v>
      </c>
      <c r="S191" s="23" t="str">
        <f t="shared" ca="1" si="28"/>
        <v>56/FP, Petal Street, Jamalpur, 811214</v>
      </c>
      <c r="T191" s="23">
        <f t="shared" ca="1" si="29"/>
        <v>180</v>
      </c>
      <c r="U191" s="33" t="str">
        <f t="shared" ca="1" si="30"/>
        <v>10%</v>
      </c>
      <c r="V191" s="29">
        <f t="shared" ca="1" si="31"/>
        <v>540</v>
      </c>
      <c r="W191" s="29">
        <f t="shared" ca="1" si="32"/>
        <v>486</v>
      </c>
      <c r="X191" s="23" t="s">
        <v>713</v>
      </c>
      <c r="Y191" s="23"/>
      <c r="Z191" s="23"/>
      <c r="AA191" s="23"/>
      <c r="AB191" s="23"/>
      <c r="AC191" s="24"/>
    </row>
    <row r="192" spans="7:29" x14ac:dyDescent="0.35">
      <c r="I192" s="1"/>
      <c r="L192" s="21">
        <v>189</v>
      </c>
      <c r="M192" s="22">
        <v>44927</v>
      </c>
      <c r="N192" s="23"/>
      <c r="O192" s="23">
        <f t="shared" ca="1" si="24"/>
        <v>90</v>
      </c>
      <c r="P192" s="23">
        <f t="shared" ca="1" si="25"/>
        <v>20</v>
      </c>
      <c r="Q192" s="23">
        <f t="shared" ca="1" si="26"/>
        <v>143</v>
      </c>
      <c r="R192" s="23">
        <f t="shared" ca="1" si="27"/>
        <v>3</v>
      </c>
      <c r="S192" s="23" t="str">
        <f t="shared" ca="1" si="28"/>
        <v>56/T, Tamarind Avenue, Agra, 282001</v>
      </c>
      <c r="T192" s="23">
        <f t="shared" ca="1" si="29"/>
        <v>50</v>
      </c>
      <c r="U192" s="33" t="str">
        <f t="shared" ca="1" si="30"/>
        <v>0</v>
      </c>
      <c r="V192" s="29">
        <f t="shared" ca="1" si="31"/>
        <v>150</v>
      </c>
      <c r="W192" s="29">
        <f t="shared" ca="1" si="32"/>
        <v>150</v>
      </c>
      <c r="X192" s="23" t="s">
        <v>713</v>
      </c>
      <c r="Y192" s="23"/>
      <c r="Z192" s="23"/>
      <c r="AA192" s="23"/>
      <c r="AB192" s="23"/>
      <c r="AC192" s="24"/>
    </row>
    <row r="193" spans="9:29" x14ac:dyDescent="0.35">
      <c r="I193" s="1"/>
      <c r="L193" s="21">
        <v>190</v>
      </c>
      <c r="M193" s="22">
        <v>44927</v>
      </c>
      <c r="N193" s="23"/>
      <c r="O193" s="23">
        <f t="shared" ca="1" si="24"/>
        <v>75</v>
      </c>
      <c r="P193" s="23">
        <f t="shared" ca="1" si="25"/>
        <v>86</v>
      </c>
      <c r="Q193" s="23">
        <f t="shared" ca="1" si="26"/>
        <v>122</v>
      </c>
      <c r="R193" s="23">
        <f t="shared" ca="1" si="27"/>
        <v>7</v>
      </c>
      <c r="S193" s="23" t="str">
        <f t="shared" ca="1" si="28"/>
        <v>67/CH, Hibiscus Street, Salem, 636001</v>
      </c>
      <c r="T193" s="23">
        <f t="shared" ca="1" si="29"/>
        <v>90</v>
      </c>
      <c r="U193" s="33" t="str">
        <f t="shared" ca="1" si="30"/>
        <v>0</v>
      </c>
      <c r="V193" s="29">
        <f t="shared" ca="1" si="31"/>
        <v>630</v>
      </c>
      <c r="W193" s="29">
        <f t="shared" ca="1" si="32"/>
        <v>630</v>
      </c>
      <c r="X193" s="23" t="s">
        <v>713</v>
      </c>
      <c r="Y193" s="23"/>
      <c r="Z193" s="23"/>
      <c r="AA193" s="23"/>
      <c r="AB193" s="23"/>
      <c r="AC193" s="24"/>
    </row>
    <row r="194" spans="9:29" x14ac:dyDescent="0.35">
      <c r="I194" s="1"/>
      <c r="L194" s="21">
        <v>191</v>
      </c>
      <c r="M194" s="22">
        <v>44927</v>
      </c>
      <c r="N194" s="23"/>
      <c r="O194" s="23">
        <f t="shared" ca="1" si="24"/>
        <v>68</v>
      </c>
      <c r="P194" s="23">
        <f t="shared" ca="1" si="25"/>
        <v>80</v>
      </c>
      <c r="Q194" s="23">
        <f t="shared" ca="1" si="26"/>
        <v>156</v>
      </c>
      <c r="R194" s="23">
        <f t="shared" ca="1" si="27"/>
        <v>6</v>
      </c>
      <c r="S194" s="23" t="str">
        <f t="shared" ca="1" si="28"/>
        <v>78/CB, Bluebell Avenue, Rewari, 123401</v>
      </c>
      <c r="T194" s="23">
        <f t="shared" ca="1" si="29"/>
        <v>120</v>
      </c>
      <c r="U194" s="33" t="str">
        <f t="shared" ca="1" si="30"/>
        <v>5%</v>
      </c>
      <c r="V194" s="29">
        <f t="shared" ca="1" si="31"/>
        <v>720</v>
      </c>
      <c r="W194" s="29">
        <f t="shared" ca="1" si="32"/>
        <v>684</v>
      </c>
      <c r="X194" s="23" t="s">
        <v>713</v>
      </c>
      <c r="Y194" s="23"/>
      <c r="Z194" s="23"/>
      <c r="AA194" s="23"/>
      <c r="AB194" s="23"/>
      <c r="AC194" s="24"/>
    </row>
    <row r="195" spans="9:29" x14ac:dyDescent="0.35">
      <c r="I195" s="1"/>
      <c r="L195" s="21">
        <v>192</v>
      </c>
      <c r="M195" s="22">
        <v>44927</v>
      </c>
      <c r="N195" s="23"/>
      <c r="O195" s="23">
        <f t="shared" ca="1" si="24"/>
        <v>45</v>
      </c>
      <c r="P195" s="23">
        <f t="shared" ca="1" si="25"/>
        <v>122</v>
      </c>
      <c r="Q195" s="23">
        <f t="shared" ca="1" si="26"/>
        <v>105</v>
      </c>
      <c r="R195" s="23">
        <f t="shared" ca="1" si="27"/>
        <v>3</v>
      </c>
      <c r="S195" s="23" t="str">
        <f t="shared" ca="1" si="28"/>
        <v>78/DR, Rosewood Lane, Baripada, 757001</v>
      </c>
      <c r="T195" s="23">
        <f t="shared" ca="1" si="29"/>
        <v>50</v>
      </c>
      <c r="U195" s="33" t="str">
        <f t="shared" ca="1" si="30"/>
        <v>0</v>
      </c>
      <c r="V195" s="29">
        <f t="shared" ca="1" si="31"/>
        <v>150</v>
      </c>
      <c r="W195" s="29">
        <f t="shared" ca="1" si="32"/>
        <v>150</v>
      </c>
      <c r="X195" s="23" t="s">
        <v>713</v>
      </c>
      <c r="Y195" s="23"/>
      <c r="Z195" s="23"/>
      <c r="AA195" s="23"/>
      <c r="AB195" s="23"/>
      <c r="AC195" s="24"/>
    </row>
    <row r="196" spans="9:29" x14ac:dyDescent="0.35">
      <c r="I196" s="1"/>
      <c r="L196" s="21">
        <v>193</v>
      </c>
      <c r="M196" s="22">
        <v>44927</v>
      </c>
      <c r="N196" s="23"/>
      <c r="O196" s="23">
        <f t="shared" ca="1" si="24"/>
        <v>57</v>
      </c>
      <c r="P196" s="23">
        <f t="shared" ca="1" si="25"/>
        <v>105</v>
      </c>
      <c r="Q196" s="23">
        <f t="shared" ca="1" si="26"/>
        <v>115</v>
      </c>
      <c r="R196" s="23">
        <f t="shared" ca="1" si="27"/>
        <v>2</v>
      </c>
      <c r="S196" s="23" t="str">
        <f t="shared" ca="1" si="28"/>
        <v>89/DA, Azalea Lane, Varanasi, 221001</v>
      </c>
      <c r="T196" s="23">
        <f t="shared" ca="1" si="29"/>
        <v>200</v>
      </c>
      <c r="U196" s="33" t="str">
        <f t="shared" ca="1" si="30"/>
        <v>20%</v>
      </c>
      <c r="V196" s="29">
        <f t="shared" ca="1" si="31"/>
        <v>400</v>
      </c>
      <c r="W196" s="29">
        <f t="shared" ca="1" si="32"/>
        <v>320</v>
      </c>
      <c r="X196" s="23" t="s">
        <v>713</v>
      </c>
      <c r="Y196" s="23"/>
      <c r="Z196" s="23"/>
      <c r="AA196" s="23"/>
      <c r="AB196" s="23"/>
      <c r="AC196" s="24"/>
    </row>
    <row r="197" spans="9:29" x14ac:dyDescent="0.35">
      <c r="I197" s="1"/>
      <c r="L197" s="21">
        <v>194</v>
      </c>
      <c r="M197" s="22">
        <v>44927</v>
      </c>
      <c r="N197" s="23"/>
      <c r="O197" s="23">
        <f t="shared" ref="O197:O260" ca="1" si="34">RANDBETWEEN(1,100)</f>
        <v>43</v>
      </c>
      <c r="P197" s="23">
        <f t="shared" ref="P197:P260" ca="1" si="35">RANDBETWEEN(1,187)</f>
        <v>153</v>
      </c>
      <c r="Q197" s="23">
        <f t="shared" ref="Q197:Q260" ca="1" si="36">RANDBETWEEN(100,170)</f>
        <v>164</v>
      </c>
      <c r="R197" s="23">
        <f t="shared" ref="R197:R260" ca="1" si="37">RANDBETWEEN(1,10)</f>
        <v>3</v>
      </c>
      <c r="S197" s="23" t="str">
        <f t="shared" ref="S197:S260" ca="1" si="38">VLOOKUP($P197,$G$3:$J$190,4,0)</f>
        <v>89/EW, Water Lily Lane, Guna, 473001</v>
      </c>
      <c r="T197" s="23">
        <f t="shared" ref="T197:T260" ca="1" si="39">VLOOKUP($O197,$B$3:$E$106,3,0)</f>
        <v>40</v>
      </c>
      <c r="U197" s="33" t="str">
        <f t="shared" ref="U197:U260" ca="1" si="40">VLOOKUP($O197,$B$3:$E$106,4,0)</f>
        <v>0</v>
      </c>
      <c r="V197" s="29">
        <f t="shared" ref="V197:V260" ca="1" si="41">$R197*$T197</f>
        <v>120</v>
      </c>
      <c r="W197" s="29">
        <f t="shared" ref="W197:W260" ca="1" si="42">V197-(V197*U197)</f>
        <v>120</v>
      </c>
      <c r="X197" s="23" t="s">
        <v>713</v>
      </c>
      <c r="Y197" s="23"/>
      <c r="Z197" s="23"/>
      <c r="AA197" s="23"/>
      <c r="AB197" s="23"/>
      <c r="AC197" s="24"/>
    </row>
    <row r="198" spans="9:29" x14ac:dyDescent="0.35">
      <c r="I198" s="1"/>
      <c r="L198" s="21">
        <v>195</v>
      </c>
      <c r="M198" s="22">
        <v>44927</v>
      </c>
      <c r="N198" s="23"/>
      <c r="O198" s="23">
        <f t="shared" ca="1" si="34"/>
        <v>28</v>
      </c>
      <c r="P198" s="23">
        <f t="shared" ca="1" si="35"/>
        <v>94</v>
      </c>
      <c r="Q198" s="23">
        <f t="shared" ca="1" si="36"/>
        <v>117</v>
      </c>
      <c r="R198" s="23">
        <f t="shared" ca="1" si="37"/>
        <v>6</v>
      </c>
      <c r="S198" s="23" t="str">
        <f t="shared" ca="1" si="38"/>
        <v>67/CP, Petunia Street, Surat, 395001</v>
      </c>
      <c r="T198" s="23">
        <f t="shared" ca="1" si="39"/>
        <v>240</v>
      </c>
      <c r="U198" s="33" t="str">
        <f t="shared" ca="1" si="40"/>
        <v>20%</v>
      </c>
      <c r="V198" s="29">
        <f t="shared" ca="1" si="41"/>
        <v>1440</v>
      </c>
      <c r="W198" s="29">
        <f t="shared" ca="1" si="42"/>
        <v>1152</v>
      </c>
      <c r="X198" s="23" t="s">
        <v>713</v>
      </c>
      <c r="Y198" s="23"/>
      <c r="Z198" s="23"/>
      <c r="AA198" s="23"/>
      <c r="AB198" s="23"/>
      <c r="AC198" s="24"/>
    </row>
    <row r="199" spans="9:29" x14ac:dyDescent="0.35">
      <c r="I199" s="1"/>
      <c r="L199" s="21">
        <v>196</v>
      </c>
      <c r="M199" s="22">
        <v>44927</v>
      </c>
      <c r="N199" s="23"/>
      <c r="O199" s="23">
        <f t="shared" ca="1" si="34"/>
        <v>79</v>
      </c>
      <c r="P199" s="23">
        <f t="shared" ca="1" si="35"/>
        <v>175</v>
      </c>
      <c r="Q199" s="23">
        <f t="shared" ca="1" si="36"/>
        <v>161</v>
      </c>
      <c r="R199" s="23">
        <f t="shared" ca="1" si="37"/>
        <v>7</v>
      </c>
      <c r="S199" s="23" t="str">
        <f t="shared" ca="1" si="38"/>
        <v>34/FS, Sunflower Avenue, Jhansi, 284001</v>
      </c>
      <c r="T199" s="23">
        <f t="shared" ca="1" si="39"/>
        <v>90</v>
      </c>
      <c r="U199" s="33" t="str">
        <f t="shared" ca="1" si="40"/>
        <v>0</v>
      </c>
      <c r="V199" s="29">
        <f t="shared" ca="1" si="41"/>
        <v>630</v>
      </c>
      <c r="W199" s="29">
        <f t="shared" ca="1" si="42"/>
        <v>630</v>
      </c>
      <c r="X199" s="23" t="s">
        <v>713</v>
      </c>
      <c r="Y199" s="23"/>
      <c r="Z199" s="23"/>
      <c r="AA199" s="23"/>
      <c r="AB199" s="23"/>
      <c r="AC199" s="24"/>
    </row>
    <row r="200" spans="9:29" x14ac:dyDescent="0.35">
      <c r="I200" s="1"/>
      <c r="L200" s="21">
        <v>197</v>
      </c>
      <c r="M200" s="22">
        <v>44927</v>
      </c>
      <c r="N200" s="23"/>
      <c r="O200" s="23">
        <f t="shared" ca="1" si="34"/>
        <v>94</v>
      </c>
      <c r="P200" s="23">
        <f t="shared" ca="1" si="35"/>
        <v>155</v>
      </c>
      <c r="Q200" s="23">
        <f t="shared" ca="1" si="36"/>
        <v>117</v>
      </c>
      <c r="R200" s="23">
        <f t="shared" ca="1" si="37"/>
        <v>9</v>
      </c>
      <c r="S200" s="23" t="str">
        <f t="shared" ca="1" si="38"/>
        <v>45/EY, Yarrow Lane, Guntur, 522001</v>
      </c>
      <c r="T200" s="23">
        <f t="shared" ca="1" si="39"/>
        <v>110</v>
      </c>
      <c r="U200" s="33" t="str">
        <f t="shared" ca="1" si="40"/>
        <v>5%</v>
      </c>
      <c r="V200" s="29">
        <f t="shared" ca="1" si="41"/>
        <v>990</v>
      </c>
      <c r="W200" s="29">
        <f t="shared" ca="1" si="42"/>
        <v>940.5</v>
      </c>
      <c r="X200" s="23" t="s">
        <v>713</v>
      </c>
      <c r="Y200" s="23"/>
      <c r="Z200" s="23"/>
      <c r="AA200" s="23"/>
      <c r="AB200" s="23"/>
      <c r="AC200" s="24"/>
    </row>
    <row r="201" spans="9:29" x14ac:dyDescent="0.35">
      <c r="I201" s="1"/>
      <c r="L201" s="21">
        <v>198</v>
      </c>
      <c r="M201" s="22">
        <v>44927</v>
      </c>
      <c r="N201" s="23"/>
      <c r="O201" s="23">
        <f t="shared" ca="1" si="34"/>
        <v>95</v>
      </c>
      <c r="P201" s="23">
        <f t="shared" ca="1" si="35"/>
        <v>141</v>
      </c>
      <c r="Q201" s="23">
        <f t="shared" ca="1" si="36"/>
        <v>115</v>
      </c>
      <c r="R201" s="23">
        <f t="shared" ca="1" si="37"/>
        <v>5</v>
      </c>
      <c r="S201" s="23" t="str">
        <f t="shared" ca="1" si="38"/>
        <v>23/EK, Kale Avenue, Dimapur, 797112</v>
      </c>
      <c r="T201" s="23">
        <f t="shared" ca="1" si="39"/>
        <v>110</v>
      </c>
      <c r="U201" s="33" t="str">
        <f t="shared" ca="1" si="40"/>
        <v>5%</v>
      </c>
      <c r="V201" s="29">
        <f t="shared" ca="1" si="41"/>
        <v>550</v>
      </c>
      <c r="W201" s="29">
        <f t="shared" ca="1" si="42"/>
        <v>522.5</v>
      </c>
      <c r="X201" s="23" t="s">
        <v>713</v>
      </c>
      <c r="Y201" s="23"/>
      <c r="Z201" s="23"/>
      <c r="AA201" s="23"/>
      <c r="AB201" s="23"/>
      <c r="AC201" s="24"/>
    </row>
    <row r="202" spans="9:29" x14ac:dyDescent="0.35">
      <c r="I202" s="1"/>
      <c r="L202" s="21">
        <v>199</v>
      </c>
      <c r="M202" s="22">
        <v>44927</v>
      </c>
      <c r="N202" s="23"/>
      <c r="O202" s="23">
        <f t="shared" ca="1" si="34"/>
        <v>99</v>
      </c>
      <c r="P202" s="23">
        <f t="shared" ca="1" si="35"/>
        <v>93</v>
      </c>
      <c r="Q202" s="23">
        <f t="shared" ca="1" si="36"/>
        <v>110</v>
      </c>
      <c r="R202" s="23">
        <f t="shared" ca="1" si="37"/>
        <v>7</v>
      </c>
      <c r="S202" s="23" t="str">
        <f t="shared" ca="1" si="38"/>
        <v>23/CO, Oleander Avenue, Srinagar, 190001</v>
      </c>
      <c r="T202" s="23">
        <f t="shared" ca="1" si="39"/>
        <v>80</v>
      </c>
      <c r="U202" s="33" t="str">
        <f t="shared" ca="1" si="40"/>
        <v>0</v>
      </c>
      <c r="V202" s="29">
        <f t="shared" ca="1" si="41"/>
        <v>560</v>
      </c>
      <c r="W202" s="29">
        <f t="shared" ca="1" si="42"/>
        <v>560</v>
      </c>
      <c r="X202" s="23" t="s">
        <v>713</v>
      </c>
      <c r="Y202" s="23"/>
      <c r="Z202" s="23"/>
      <c r="AA202" s="23"/>
      <c r="AB202" s="23"/>
      <c r="AC202" s="24"/>
    </row>
    <row r="203" spans="9:29" x14ac:dyDescent="0.35">
      <c r="I203" s="1"/>
      <c r="L203" s="21">
        <v>200</v>
      </c>
      <c r="M203" s="22">
        <v>44927</v>
      </c>
      <c r="N203" s="23"/>
      <c r="O203" s="23">
        <f t="shared" ca="1" si="34"/>
        <v>8</v>
      </c>
      <c r="P203" s="23">
        <f t="shared" ca="1" si="35"/>
        <v>144</v>
      </c>
      <c r="Q203" s="23">
        <f t="shared" ca="1" si="36"/>
        <v>155</v>
      </c>
      <c r="R203" s="23">
        <f t="shared" ca="1" si="37"/>
        <v>3</v>
      </c>
      <c r="S203" s="23" t="str">
        <f t="shared" ca="1" si="38"/>
        <v>78/EN, Narcissus Lane, Erode, 638001</v>
      </c>
      <c r="T203" s="23">
        <f t="shared" ca="1" si="39"/>
        <v>200</v>
      </c>
      <c r="U203" s="33" t="str">
        <f t="shared" ca="1" si="40"/>
        <v>20%</v>
      </c>
      <c r="V203" s="29">
        <f t="shared" ca="1" si="41"/>
        <v>600</v>
      </c>
      <c r="W203" s="29">
        <f t="shared" ca="1" si="42"/>
        <v>480</v>
      </c>
      <c r="X203" s="23" t="s">
        <v>713</v>
      </c>
      <c r="Y203" s="23"/>
      <c r="Z203" s="23"/>
      <c r="AA203" s="23"/>
      <c r="AB203" s="23"/>
      <c r="AC203" s="24"/>
    </row>
    <row r="204" spans="9:29" x14ac:dyDescent="0.35">
      <c r="L204" s="21">
        <v>201</v>
      </c>
      <c r="M204" s="22">
        <v>44927</v>
      </c>
      <c r="N204" s="23"/>
      <c r="O204" s="23">
        <f t="shared" ca="1" si="34"/>
        <v>95</v>
      </c>
      <c r="P204" s="23">
        <f t="shared" ca="1" si="35"/>
        <v>94</v>
      </c>
      <c r="Q204" s="23">
        <f t="shared" ca="1" si="36"/>
        <v>145</v>
      </c>
      <c r="R204" s="23">
        <f t="shared" ca="1" si="37"/>
        <v>8</v>
      </c>
      <c r="S204" s="23" t="str">
        <f t="shared" ca="1" si="38"/>
        <v>67/CP, Petunia Street, Surat, 395001</v>
      </c>
      <c r="T204" s="23">
        <f t="shared" ca="1" si="39"/>
        <v>110</v>
      </c>
      <c r="U204" s="33" t="str">
        <f t="shared" ca="1" si="40"/>
        <v>5%</v>
      </c>
      <c r="V204" s="29">
        <f t="shared" ca="1" si="41"/>
        <v>880</v>
      </c>
      <c r="W204" s="29">
        <f t="shared" ca="1" si="42"/>
        <v>836</v>
      </c>
      <c r="X204" s="23" t="s">
        <v>713</v>
      </c>
      <c r="Y204" s="23"/>
      <c r="Z204" s="23"/>
      <c r="AA204" s="23"/>
      <c r="AB204" s="23"/>
      <c r="AC204" s="24"/>
    </row>
    <row r="205" spans="9:29" x14ac:dyDescent="0.35">
      <c r="L205" s="21">
        <v>202</v>
      </c>
      <c r="M205" s="22">
        <v>44927</v>
      </c>
      <c r="N205" s="23"/>
      <c r="O205" s="23">
        <f t="shared" ca="1" si="34"/>
        <v>57</v>
      </c>
      <c r="P205" s="23">
        <f t="shared" ca="1" si="35"/>
        <v>171</v>
      </c>
      <c r="Q205" s="23">
        <f t="shared" ca="1" si="36"/>
        <v>121</v>
      </c>
      <c r="R205" s="23">
        <f t="shared" ca="1" si="37"/>
        <v>2</v>
      </c>
      <c r="S205" s="23" t="str">
        <f t="shared" ca="1" si="38"/>
        <v>45/FO, Oleander Lane, Jalore, 343001</v>
      </c>
      <c r="T205" s="23">
        <f t="shared" ca="1" si="39"/>
        <v>200</v>
      </c>
      <c r="U205" s="33" t="str">
        <f t="shared" ca="1" si="40"/>
        <v>20%</v>
      </c>
      <c r="V205" s="29">
        <f t="shared" ca="1" si="41"/>
        <v>400</v>
      </c>
      <c r="W205" s="29">
        <f t="shared" ca="1" si="42"/>
        <v>320</v>
      </c>
      <c r="X205" s="23" t="s">
        <v>713</v>
      </c>
      <c r="Y205" s="23"/>
      <c r="Z205" s="23"/>
      <c r="AA205" s="23"/>
      <c r="AB205" s="23"/>
      <c r="AC205" s="24"/>
    </row>
    <row r="206" spans="9:29" x14ac:dyDescent="0.35">
      <c r="L206" s="21">
        <v>203</v>
      </c>
      <c r="M206" s="22">
        <v>44927</v>
      </c>
      <c r="N206" s="23"/>
      <c r="O206" s="23">
        <f t="shared" ca="1" si="34"/>
        <v>69</v>
      </c>
      <c r="P206" s="23">
        <f t="shared" ca="1" si="35"/>
        <v>75</v>
      </c>
      <c r="Q206" s="23">
        <f t="shared" ca="1" si="36"/>
        <v>127</v>
      </c>
      <c r="R206" s="23">
        <f t="shared" ca="1" si="37"/>
        <v>8</v>
      </c>
      <c r="S206" s="23" t="str">
        <f t="shared" ca="1" si="38"/>
        <v>45/BW, Water Lily Street, Panchkula, 134109</v>
      </c>
      <c r="T206" s="23">
        <f t="shared" ca="1" si="39"/>
        <v>100</v>
      </c>
      <c r="U206" s="33" t="str">
        <f t="shared" ca="1" si="40"/>
        <v>5%</v>
      </c>
      <c r="V206" s="29">
        <f t="shared" ca="1" si="41"/>
        <v>800</v>
      </c>
      <c r="W206" s="29">
        <f t="shared" ca="1" si="42"/>
        <v>760</v>
      </c>
      <c r="X206" s="23" t="s">
        <v>713</v>
      </c>
      <c r="Y206" s="23"/>
      <c r="Z206" s="23"/>
      <c r="AA206" s="23"/>
      <c r="AB206" s="23"/>
      <c r="AC206" s="24"/>
    </row>
    <row r="207" spans="9:29" x14ac:dyDescent="0.35">
      <c r="L207" s="21">
        <v>204</v>
      </c>
      <c r="M207" s="22">
        <v>44927</v>
      </c>
      <c r="N207" s="23"/>
      <c r="O207" s="23">
        <f t="shared" ca="1" si="34"/>
        <v>24</v>
      </c>
      <c r="P207" s="23">
        <f t="shared" ca="1" si="35"/>
        <v>128</v>
      </c>
      <c r="Q207" s="23">
        <f t="shared" ca="1" si="36"/>
        <v>163</v>
      </c>
      <c r="R207" s="23">
        <f t="shared" ca="1" si="37"/>
        <v>8</v>
      </c>
      <c r="S207" s="23" t="str">
        <f t="shared" ca="1" si="38"/>
        <v>78/DX, Xylophone Road, Bhuj, 370001</v>
      </c>
      <c r="T207" s="23">
        <f t="shared" ca="1" si="39"/>
        <v>190</v>
      </c>
      <c r="U207" s="33" t="str">
        <f t="shared" ca="1" si="40"/>
        <v>10%</v>
      </c>
      <c r="V207" s="29">
        <f t="shared" ca="1" si="41"/>
        <v>1520</v>
      </c>
      <c r="W207" s="29">
        <f t="shared" ca="1" si="42"/>
        <v>1368</v>
      </c>
      <c r="X207" s="23" t="s">
        <v>713</v>
      </c>
      <c r="Y207" s="23"/>
      <c r="Z207" s="23"/>
      <c r="AA207" s="23"/>
      <c r="AB207" s="23"/>
      <c r="AC207" s="24"/>
    </row>
    <row r="208" spans="9:29" x14ac:dyDescent="0.35">
      <c r="L208" s="21">
        <v>205</v>
      </c>
      <c r="M208" s="22">
        <v>44927</v>
      </c>
      <c r="N208" s="23"/>
      <c r="O208" s="23">
        <f t="shared" ca="1" si="34"/>
        <v>33</v>
      </c>
      <c r="P208" s="23">
        <f t="shared" ca="1" si="35"/>
        <v>98</v>
      </c>
      <c r="Q208" s="23">
        <f t="shared" ca="1" si="36"/>
        <v>161</v>
      </c>
      <c r="R208" s="23">
        <f t="shared" ca="1" si="37"/>
        <v>9</v>
      </c>
      <c r="S208" s="23" t="str">
        <f t="shared" ca="1" si="38"/>
        <v>78/CT, Tulip Avenue, Tiruppur, 641601</v>
      </c>
      <c r="T208" s="23">
        <f t="shared" ca="1" si="39"/>
        <v>250</v>
      </c>
      <c r="U208" s="33" t="str">
        <f t="shared" ca="1" si="40"/>
        <v>20%</v>
      </c>
      <c r="V208" s="29">
        <f t="shared" ca="1" si="41"/>
        <v>2250</v>
      </c>
      <c r="W208" s="29">
        <f t="shared" ca="1" si="42"/>
        <v>1800</v>
      </c>
      <c r="X208" s="23" t="s">
        <v>713</v>
      </c>
      <c r="Y208" s="23"/>
      <c r="Z208" s="23"/>
      <c r="AA208" s="23"/>
      <c r="AB208" s="23"/>
      <c r="AC208" s="24"/>
    </row>
    <row r="209" spans="12:29" x14ac:dyDescent="0.35">
      <c r="L209" s="21">
        <v>206</v>
      </c>
      <c r="M209" s="22">
        <v>44927</v>
      </c>
      <c r="N209" s="23"/>
      <c r="O209" s="23">
        <f t="shared" ca="1" si="34"/>
        <v>98</v>
      </c>
      <c r="P209" s="23">
        <f t="shared" ca="1" si="35"/>
        <v>52</v>
      </c>
      <c r="Q209" s="23">
        <f t="shared" ca="1" si="36"/>
        <v>152</v>
      </c>
      <c r="R209" s="23">
        <f t="shared" ca="1" si="37"/>
        <v>5</v>
      </c>
      <c r="S209" s="23" t="str">
        <f t="shared" ca="1" si="38"/>
        <v>56/AZ, Zinnia Road, Bilaspur, 495001</v>
      </c>
      <c r="T209" s="23">
        <f t="shared" ca="1" si="39"/>
        <v>80</v>
      </c>
      <c r="U209" s="33" t="str">
        <f t="shared" ca="1" si="40"/>
        <v>0</v>
      </c>
      <c r="V209" s="29">
        <f t="shared" ca="1" si="41"/>
        <v>400</v>
      </c>
      <c r="W209" s="29">
        <f t="shared" ca="1" si="42"/>
        <v>400</v>
      </c>
      <c r="X209" s="23" t="s">
        <v>713</v>
      </c>
      <c r="Y209" s="23"/>
      <c r="Z209" s="23"/>
      <c r="AA209" s="23"/>
      <c r="AB209" s="23"/>
      <c r="AC209" s="24"/>
    </row>
    <row r="210" spans="12:29" x14ac:dyDescent="0.35">
      <c r="L210" s="21">
        <v>207</v>
      </c>
      <c r="M210" s="22">
        <v>44927</v>
      </c>
      <c r="N210" s="23"/>
      <c r="O210" s="23">
        <f t="shared" ca="1" si="34"/>
        <v>69</v>
      </c>
      <c r="P210" s="23">
        <f t="shared" ca="1" si="35"/>
        <v>153</v>
      </c>
      <c r="Q210" s="23">
        <f t="shared" ca="1" si="36"/>
        <v>127</v>
      </c>
      <c r="R210" s="23">
        <f t="shared" ca="1" si="37"/>
        <v>6</v>
      </c>
      <c r="S210" s="23" t="str">
        <f t="shared" ca="1" si="38"/>
        <v>89/EW, Water Lily Lane, Guna, 473001</v>
      </c>
      <c r="T210" s="23">
        <f t="shared" ca="1" si="39"/>
        <v>100</v>
      </c>
      <c r="U210" s="33" t="str">
        <f t="shared" ca="1" si="40"/>
        <v>5%</v>
      </c>
      <c r="V210" s="29">
        <f t="shared" ca="1" si="41"/>
        <v>600</v>
      </c>
      <c r="W210" s="29">
        <f t="shared" ca="1" si="42"/>
        <v>570</v>
      </c>
      <c r="X210" s="23" t="s">
        <v>714</v>
      </c>
      <c r="Y210" s="23"/>
      <c r="Z210" s="23"/>
      <c r="AA210" s="23"/>
      <c r="AB210" s="23"/>
      <c r="AC210" s="24"/>
    </row>
    <row r="211" spans="12:29" x14ac:dyDescent="0.35">
      <c r="L211" s="21">
        <v>208</v>
      </c>
      <c r="M211" s="22">
        <v>44927</v>
      </c>
      <c r="N211" s="23"/>
      <c r="O211" s="23">
        <f t="shared" ca="1" si="34"/>
        <v>50</v>
      </c>
      <c r="P211" s="23">
        <f t="shared" ca="1" si="35"/>
        <v>152</v>
      </c>
      <c r="Q211" s="23">
        <f t="shared" ca="1" si="36"/>
        <v>112</v>
      </c>
      <c r="R211" s="23">
        <f t="shared" ca="1" si="37"/>
        <v>7</v>
      </c>
      <c r="S211" s="23" t="str">
        <f t="shared" ca="1" si="38"/>
        <v>78/EV, Verbena Road, Gondia, 441601</v>
      </c>
      <c r="T211" s="23">
        <f t="shared" ca="1" si="39"/>
        <v>40</v>
      </c>
      <c r="U211" s="33" t="str">
        <f t="shared" ca="1" si="40"/>
        <v>0</v>
      </c>
      <c r="V211" s="29">
        <f t="shared" ca="1" si="41"/>
        <v>280</v>
      </c>
      <c r="W211" s="29">
        <f t="shared" ca="1" si="42"/>
        <v>280</v>
      </c>
      <c r="X211" s="23" t="s">
        <v>714</v>
      </c>
      <c r="Y211" s="23"/>
      <c r="Z211" s="23"/>
      <c r="AA211" s="23"/>
      <c r="AB211" s="23"/>
      <c r="AC211" s="24"/>
    </row>
    <row r="212" spans="12:29" x14ac:dyDescent="0.35">
      <c r="L212" s="21">
        <v>209</v>
      </c>
      <c r="M212" s="22">
        <v>44927</v>
      </c>
      <c r="N212" s="23"/>
      <c r="O212" s="23">
        <f t="shared" ca="1" si="34"/>
        <v>78</v>
      </c>
      <c r="P212" s="23">
        <f t="shared" ca="1" si="35"/>
        <v>160</v>
      </c>
      <c r="Q212" s="23">
        <f t="shared" ca="1" si="36"/>
        <v>145</v>
      </c>
      <c r="R212" s="23">
        <f t="shared" ca="1" si="37"/>
        <v>10</v>
      </c>
      <c r="S212" s="23" t="str">
        <f t="shared" ca="1" si="38"/>
        <v>78/FD, Dahlia Lane, Hassan, 573201</v>
      </c>
      <c r="T212" s="23">
        <f t="shared" ca="1" si="39"/>
        <v>90</v>
      </c>
      <c r="U212" s="33" t="str">
        <f t="shared" ca="1" si="40"/>
        <v>0</v>
      </c>
      <c r="V212" s="29">
        <f t="shared" ca="1" si="41"/>
        <v>900</v>
      </c>
      <c r="W212" s="29">
        <f t="shared" ca="1" si="42"/>
        <v>900</v>
      </c>
      <c r="X212" s="23" t="s">
        <v>714</v>
      </c>
      <c r="Y212" s="23"/>
      <c r="Z212" s="23"/>
      <c r="AA212" s="23"/>
      <c r="AB212" s="23"/>
      <c r="AC212" s="24"/>
    </row>
    <row r="213" spans="12:29" x14ac:dyDescent="0.35">
      <c r="L213" s="21">
        <v>210</v>
      </c>
      <c r="M213" s="22">
        <v>44927</v>
      </c>
      <c r="N213" s="23"/>
      <c r="O213" s="23">
        <f t="shared" ca="1" si="34"/>
        <v>60</v>
      </c>
      <c r="P213" s="23">
        <f t="shared" ca="1" si="35"/>
        <v>96</v>
      </c>
      <c r="Q213" s="23">
        <f t="shared" ca="1" si="36"/>
        <v>165</v>
      </c>
      <c r="R213" s="23">
        <f t="shared" ca="1" si="37"/>
        <v>6</v>
      </c>
      <c r="S213" s="23" t="str">
        <f t="shared" ca="1" si="38"/>
        <v>78/CR, Rosemary Lane, Thanjavur, 613001</v>
      </c>
      <c r="T213" s="23">
        <f t="shared" ca="1" si="39"/>
        <v>120</v>
      </c>
      <c r="U213" s="33" t="str">
        <f t="shared" ca="1" si="40"/>
        <v>5%</v>
      </c>
      <c r="V213" s="29">
        <f t="shared" ca="1" si="41"/>
        <v>720</v>
      </c>
      <c r="W213" s="29">
        <f t="shared" ca="1" si="42"/>
        <v>684</v>
      </c>
      <c r="X213" s="23" t="s">
        <v>714</v>
      </c>
      <c r="Y213" s="23"/>
      <c r="Z213" s="23"/>
      <c r="AA213" s="23"/>
      <c r="AB213" s="23"/>
      <c r="AC213" s="24"/>
    </row>
    <row r="214" spans="12:29" x14ac:dyDescent="0.35">
      <c r="L214" s="21">
        <v>211</v>
      </c>
      <c r="M214" s="22">
        <v>44927</v>
      </c>
      <c r="N214" s="23"/>
      <c r="O214" s="23">
        <f t="shared" ca="1" si="34"/>
        <v>34</v>
      </c>
      <c r="P214" s="23">
        <f t="shared" ca="1" si="35"/>
        <v>110</v>
      </c>
      <c r="Q214" s="23">
        <f t="shared" ca="1" si="36"/>
        <v>164</v>
      </c>
      <c r="R214" s="23">
        <f t="shared" ca="1" si="37"/>
        <v>7</v>
      </c>
      <c r="S214" s="23" t="str">
        <f t="shared" ca="1" si="38"/>
        <v>67/DF, Frangipani Road, Yavatmal, 445001</v>
      </c>
      <c r="T214" s="23">
        <f t="shared" ca="1" si="39"/>
        <v>260</v>
      </c>
      <c r="U214" s="33" t="str">
        <f t="shared" ca="1" si="40"/>
        <v>20%</v>
      </c>
      <c r="V214" s="29">
        <f t="shared" ca="1" si="41"/>
        <v>1820</v>
      </c>
      <c r="W214" s="29">
        <f t="shared" ca="1" si="42"/>
        <v>1456</v>
      </c>
      <c r="X214" s="23" t="s">
        <v>714</v>
      </c>
      <c r="Y214" s="23"/>
      <c r="Z214" s="23"/>
      <c r="AA214" s="23"/>
      <c r="AB214" s="23"/>
      <c r="AC214" s="24"/>
    </row>
    <row r="215" spans="12:29" x14ac:dyDescent="0.35">
      <c r="L215" s="21">
        <v>212</v>
      </c>
      <c r="M215" s="22">
        <v>44927</v>
      </c>
      <c r="N215" s="23"/>
      <c r="O215" s="23">
        <f t="shared" ca="1" si="34"/>
        <v>6</v>
      </c>
      <c r="P215" s="23">
        <f t="shared" ca="1" si="35"/>
        <v>170</v>
      </c>
      <c r="Q215" s="23">
        <f t="shared" ca="1" si="36"/>
        <v>141</v>
      </c>
      <c r="R215" s="23">
        <f t="shared" ca="1" si="37"/>
        <v>1</v>
      </c>
      <c r="S215" s="23" t="str">
        <f t="shared" ca="1" si="38"/>
        <v>78/FN, Narcissus Street, Jalna, 431203</v>
      </c>
      <c r="T215" s="23">
        <f t="shared" ca="1" si="39"/>
        <v>220</v>
      </c>
      <c r="U215" s="33" t="str">
        <f t="shared" ca="1" si="40"/>
        <v>20%</v>
      </c>
      <c r="V215" s="29">
        <f t="shared" ca="1" si="41"/>
        <v>220</v>
      </c>
      <c r="W215" s="29">
        <f t="shared" ca="1" si="42"/>
        <v>176</v>
      </c>
      <c r="X215" s="23" t="s">
        <v>714</v>
      </c>
      <c r="Y215" s="23"/>
      <c r="Z215" s="23"/>
      <c r="AA215" s="23"/>
      <c r="AB215" s="23"/>
      <c r="AC215" s="24"/>
    </row>
    <row r="216" spans="12:29" x14ac:dyDescent="0.35">
      <c r="L216" s="21">
        <v>213</v>
      </c>
      <c r="M216" s="22">
        <v>44927</v>
      </c>
      <c r="N216" s="23"/>
      <c r="O216" s="23">
        <f t="shared" ca="1" si="34"/>
        <v>78</v>
      </c>
      <c r="P216" s="23">
        <f t="shared" ca="1" si="35"/>
        <v>63</v>
      </c>
      <c r="Q216" s="23">
        <f t="shared" ca="1" si="36"/>
        <v>116</v>
      </c>
      <c r="R216" s="23">
        <f t="shared" ca="1" si="37"/>
        <v>1</v>
      </c>
      <c r="S216" s="23" t="str">
        <f t="shared" ca="1" si="38"/>
        <v>34/BK, Kale Road, Thanjavur, 613001</v>
      </c>
      <c r="T216" s="23">
        <f t="shared" ca="1" si="39"/>
        <v>90</v>
      </c>
      <c r="U216" s="33" t="str">
        <f t="shared" ca="1" si="40"/>
        <v>0</v>
      </c>
      <c r="V216" s="29">
        <f t="shared" ca="1" si="41"/>
        <v>90</v>
      </c>
      <c r="W216" s="29">
        <f t="shared" ca="1" si="42"/>
        <v>90</v>
      </c>
      <c r="X216" s="23" t="s">
        <v>714</v>
      </c>
      <c r="Y216" s="23"/>
      <c r="Z216" s="23"/>
      <c r="AA216" s="23"/>
      <c r="AB216" s="23"/>
      <c r="AC216" s="24"/>
    </row>
    <row r="217" spans="12:29" x14ac:dyDescent="0.35">
      <c r="L217" s="21">
        <v>214</v>
      </c>
      <c r="M217" s="22">
        <v>44927</v>
      </c>
      <c r="N217" s="23"/>
      <c r="O217" s="23">
        <f t="shared" ca="1" si="34"/>
        <v>8</v>
      </c>
      <c r="P217" s="23">
        <f t="shared" ca="1" si="35"/>
        <v>39</v>
      </c>
      <c r="Q217" s="23">
        <f t="shared" ca="1" si="36"/>
        <v>117</v>
      </c>
      <c r="R217" s="23">
        <f t="shared" ca="1" si="37"/>
        <v>1</v>
      </c>
      <c r="S217" s="23" t="str">
        <f t="shared" ca="1" si="38"/>
        <v>34/AM, Marigold Lane, Meerut, 250001</v>
      </c>
      <c r="T217" s="23">
        <f t="shared" ca="1" si="39"/>
        <v>200</v>
      </c>
      <c r="U217" s="33" t="str">
        <f t="shared" ca="1" si="40"/>
        <v>20%</v>
      </c>
      <c r="V217" s="29">
        <f t="shared" ca="1" si="41"/>
        <v>200</v>
      </c>
      <c r="W217" s="29">
        <f t="shared" ca="1" si="42"/>
        <v>160</v>
      </c>
      <c r="X217" s="23" t="s">
        <v>714</v>
      </c>
      <c r="Y217" s="23"/>
      <c r="Z217" s="23"/>
      <c r="AA217" s="23"/>
      <c r="AB217" s="23"/>
      <c r="AC217" s="24"/>
    </row>
    <row r="218" spans="12:29" x14ac:dyDescent="0.35">
      <c r="L218" s="21">
        <v>215</v>
      </c>
      <c r="M218" s="22">
        <v>44927</v>
      </c>
      <c r="N218" s="23"/>
      <c r="O218" s="23">
        <f t="shared" ca="1" si="34"/>
        <v>2</v>
      </c>
      <c r="P218" s="23">
        <f t="shared" ca="1" si="35"/>
        <v>151</v>
      </c>
      <c r="Q218" s="23">
        <f t="shared" ca="1" si="36"/>
        <v>137</v>
      </c>
      <c r="R218" s="23">
        <f t="shared" ca="1" si="37"/>
        <v>6</v>
      </c>
      <c r="S218" s="23" t="str">
        <f t="shared" ca="1" si="38"/>
        <v>34/EU, Utopia Street, Godhra, 389001</v>
      </c>
      <c r="T218" s="23">
        <f t="shared" ca="1" si="39"/>
        <v>180</v>
      </c>
      <c r="U218" s="33" t="str">
        <f t="shared" ca="1" si="40"/>
        <v>10%</v>
      </c>
      <c r="V218" s="29">
        <f t="shared" ca="1" si="41"/>
        <v>1080</v>
      </c>
      <c r="W218" s="29">
        <f t="shared" ca="1" si="42"/>
        <v>972</v>
      </c>
      <c r="X218" s="23" t="s">
        <v>714</v>
      </c>
      <c r="Y218" s="23"/>
      <c r="Z218" s="23"/>
      <c r="AA218" s="23"/>
      <c r="AB218" s="23"/>
      <c r="AC218" s="24"/>
    </row>
    <row r="219" spans="12:29" x14ac:dyDescent="0.35">
      <c r="L219" s="21">
        <v>216</v>
      </c>
      <c r="M219" s="22">
        <v>44927</v>
      </c>
      <c r="N219" s="23"/>
      <c r="O219" s="23">
        <f t="shared" ca="1" si="34"/>
        <v>11</v>
      </c>
      <c r="P219" s="23">
        <f t="shared" ca="1" si="35"/>
        <v>176</v>
      </c>
      <c r="Q219" s="23">
        <f t="shared" ca="1" si="36"/>
        <v>140</v>
      </c>
      <c r="R219" s="23">
        <f t="shared" ca="1" si="37"/>
        <v>8</v>
      </c>
      <c r="S219" s="23" t="str">
        <f t="shared" ca="1" si="38"/>
        <v>78/FT, Tulip Road, Jhunjhunu, 333001</v>
      </c>
      <c r="T219" s="23">
        <f t="shared" ca="1" si="39"/>
        <v>180</v>
      </c>
      <c r="U219" s="33" t="str">
        <f t="shared" ca="1" si="40"/>
        <v>10%</v>
      </c>
      <c r="V219" s="29">
        <f t="shared" ca="1" si="41"/>
        <v>1440</v>
      </c>
      <c r="W219" s="29">
        <f t="shared" ca="1" si="42"/>
        <v>1296</v>
      </c>
      <c r="X219" s="23" t="s">
        <v>713</v>
      </c>
      <c r="Y219" s="23"/>
      <c r="Z219" s="23"/>
      <c r="AA219" s="23"/>
      <c r="AB219" s="23"/>
      <c r="AC219" s="24"/>
    </row>
    <row r="220" spans="12:29" x14ac:dyDescent="0.35">
      <c r="L220" s="21">
        <v>217</v>
      </c>
      <c r="M220" s="22">
        <v>44927</v>
      </c>
      <c r="N220" s="23"/>
      <c r="O220" s="23">
        <f t="shared" ca="1" si="34"/>
        <v>69</v>
      </c>
      <c r="P220" s="23">
        <f t="shared" ca="1" si="35"/>
        <v>175</v>
      </c>
      <c r="Q220" s="23">
        <f t="shared" ca="1" si="36"/>
        <v>116</v>
      </c>
      <c r="R220" s="23">
        <f t="shared" ca="1" si="37"/>
        <v>6</v>
      </c>
      <c r="S220" s="23" t="str">
        <f t="shared" ca="1" si="38"/>
        <v>34/FS, Sunflower Avenue, Jhansi, 284001</v>
      </c>
      <c r="T220" s="23">
        <f t="shared" ca="1" si="39"/>
        <v>100</v>
      </c>
      <c r="U220" s="33" t="str">
        <f t="shared" ca="1" si="40"/>
        <v>5%</v>
      </c>
      <c r="V220" s="29">
        <f t="shared" ca="1" si="41"/>
        <v>600</v>
      </c>
      <c r="W220" s="29">
        <f t="shared" ca="1" si="42"/>
        <v>570</v>
      </c>
      <c r="X220" s="23" t="s">
        <v>713</v>
      </c>
      <c r="Y220" s="23"/>
      <c r="Z220" s="23"/>
      <c r="AA220" s="23"/>
      <c r="AB220" s="23"/>
      <c r="AC220" s="24"/>
    </row>
    <row r="221" spans="12:29" x14ac:dyDescent="0.35">
      <c r="L221" s="21">
        <v>218</v>
      </c>
      <c r="M221" s="22">
        <v>44927</v>
      </c>
      <c r="N221" s="23"/>
      <c r="O221" s="23">
        <f t="shared" ca="1" si="34"/>
        <v>94</v>
      </c>
      <c r="P221" s="23">
        <f t="shared" ca="1" si="35"/>
        <v>94</v>
      </c>
      <c r="Q221" s="23">
        <f t="shared" ca="1" si="36"/>
        <v>147</v>
      </c>
      <c r="R221" s="23">
        <f t="shared" ca="1" si="37"/>
        <v>10</v>
      </c>
      <c r="S221" s="23" t="str">
        <f t="shared" ca="1" si="38"/>
        <v>67/CP, Petunia Street, Surat, 395001</v>
      </c>
      <c r="T221" s="23">
        <f t="shared" ca="1" si="39"/>
        <v>110</v>
      </c>
      <c r="U221" s="33" t="str">
        <f t="shared" ca="1" si="40"/>
        <v>5%</v>
      </c>
      <c r="V221" s="29">
        <f t="shared" ca="1" si="41"/>
        <v>1100</v>
      </c>
      <c r="W221" s="29">
        <f t="shared" ca="1" si="42"/>
        <v>1045</v>
      </c>
      <c r="X221" s="23" t="s">
        <v>713</v>
      </c>
      <c r="Y221" s="23"/>
      <c r="Z221" s="23"/>
      <c r="AA221" s="23"/>
      <c r="AB221" s="23"/>
      <c r="AC221" s="24"/>
    </row>
    <row r="222" spans="12:29" x14ac:dyDescent="0.35">
      <c r="L222" s="21">
        <v>219</v>
      </c>
      <c r="M222" s="22">
        <v>44927</v>
      </c>
      <c r="N222" s="23"/>
      <c r="O222" s="23">
        <f t="shared" ca="1" si="34"/>
        <v>69</v>
      </c>
      <c r="P222" s="23">
        <f t="shared" ca="1" si="35"/>
        <v>115</v>
      </c>
      <c r="Q222" s="23">
        <f t="shared" ca="1" si="36"/>
        <v>159</v>
      </c>
      <c r="R222" s="23">
        <f t="shared" ca="1" si="37"/>
        <v>5</v>
      </c>
      <c r="S222" s="23" t="str">
        <f t="shared" ca="1" si="38"/>
        <v>45/DK, Kale Lane, Anand, 388001</v>
      </c>
      <c r="T222" s="23">
        <f t="shared" ca="1" si="39"/>
        <v>100</v>
      </c>
      <c r="U222" s="33" t="str">
        <f t="shared" ca="1" si="40"/>
        <v>5%</v>
      </c>
      <c r="V222" s="29">
        <f t="shared" ca="1" si="41"/>
        <v>500</v>
      </c>
      <c r="W222" s="29">
        <f t="shared" ca="1" si="42"/>
        <v>475</v>
      </c>
      <c r="X222" s="23" t="s">
        <v>713</v>
      </c>
      <c r="Y222" s="23"/>
      <c r="Z222" s="23"/>
      <c r="AA222" s="23"/>
      <c r="AB222" s="23"/>
      <c r="AC222" s="24"/>
    </row>
    <row r="223" spans="12:29" x14ac:dyDescent="0.35">
      <c r="L223" s="21">
        <v>220</v>
      </c>
      <c r="M223" s="22">
        <v>44927</v>
      </c>
      <c r="N223" s="23"/>
      <c r="O223" s="23">
        <f t="shared" ca="1" si="34"/>
        <v>86</v>
      </c>
      <c r="P223" s="23">
        <f t="shared" ca="1" si="35"/>
        <v>12</v>
      </c>
      <c r="Q223" s="23">
        <f t="shared" ca="1" si="36"/>
        <v>123</v>
      </c>
      <c r="R223" s="23">
        <f t="shared" ca="1" si="37"/>
        <v>3</v>
      </c>
      <c r="S223" s="23" t="str">
        <f t="shared" ca="1" si="38"/>
        <v>56/L, Lavender Lane, Indore, 452001</v>
      </c>
      <c r="T223" s="23">
        <f t="shared" ca="1" si="39"/>
        <v>40</v>
      </c>
      <c r="U223" s="33" t="str">
        <f t="shared" ca="1" si="40"/>
        <v>0</v>
      </c>
      <c r="V223" s="29">
        <f t="shared" ca="1" si="41"/>
        <v>120</v>
      </c>
      <c r="W223" s="29">
        <f t="shared" ca="1" si="42"/>
        <v>120</v>
      </c>
      <c r="X223" s="23" t="s">
        <v>713</v>
      </c>
      <c r="Y223" s="23"/>
      <c r="Z223" s="23"/>
      <c r="AA223" s="23"/>
      <c r="AB223" s="23"/>
      <c r="AC223" s="24"/>
    </row>
    <row r="224" spans="12:29" x14ac:dyDescent="0.35">
      <c r="L224" s="21">
        <v>221</v>
      </c>
      <c r="M224" s="22">
        <v>44927</v>
      </c>
      <c r="N224" s="23"/>
      <c r="O224" s="23">
        <f t="shared" ca="1" si="34"/>
        <v>39</v>
      </c>
      <c r="P224" s="23">
        <f t="shared" ca="1" si="35"/>
        <v>112</v>
      </c>
      <c r="Q224" s="23">
        <f t="shared" ca="1" si="36"/>
        <v>128</v>
      </c>
      <c r="R224" s="23">
        <f t="shared" ca="1" si="37"/>
        <v>4</v>
      </c>
      <c r="S224" s="23" t="str">
        <f t="shared" ca="1" si="38"/>
        <v>78/DH, Hibiscus Lane, Alappuzha, 688001</v>
      </c>
      <c r="T224" s="23">
        <f t="shared" ca="1" si="39"/>
        <v>250</v>
      </c>
      <c r="U224" s="33" t="str">
        <f t="shared" ca="1" si="40"/>
        <v>20%</v>
      </c>
      <c r="V224" s="29">
        <f t="shared" ca="1" si="41"/>
        <v>1000</v>
      </c>
      <c r="W224" s="29">
        <f t="shared" ca="1" si="42"/>
        <v>800</v>
      </c>
      <c r="X224" s="23" t="s">
        <v>713</v>
      </c>
      <c r="Y224" s="23"/>
      <c r="Z224" s="23"/>
      <c r="AA224" s="23"/>
      <c r="AB224" s="23"/>
      <c r="AC224" s="24"/>
    </row>
    <row r="225" spans="12:29" x14ac:dyDescent="0.35">
      <c r="L225" s="21">
        <v>222</v>
      </c>
      <c r="M225" s="22">
        <v>44927</v>
      </c>
      <c r="N225" s="23"/>
      <c r="O225" s="23">
        <f t="shared" ca="1" si="34"/>
        <v>64</v>
      </c>
      <c r="P225" s="23">
        <f t="shared" ca="1" si="35"/>
        <v>43</v>
      </c>
      <c r="Q225" s="23">
        <f t="shared" ca="1" si="36"/>
        <v>110</v>
      </c>
      <c r="R225" s="23">
        <f t="shared" ca="1" si="37"/>
        <v>3</v>
      </c>
      <c r="S225" s="23" t="str">
        <f t="shared" ca="1" si="38"/>
        <v>45/AQ, Quince Lane, Rajkot, 360001</v>
      </c>
      <c r="T225" s="23">
        <f t="shared" ca="1" si="39"/>
        <v>120</v>
      </c>
      <c r="U225" s="33" t="str">
        <f t="shared" ca="1" si="40"/>
        <v>5%</v>
      </c>
      <c r="V225" s="29">
        <f t="shared" ca="1" si="41"/>
        <v>360</v>
      </c>
      <c r="W225" s="29">
        <f t="shared" ca="1" si="42"/>
        <v>342</v>
      </c>
      <c r="X225" s="23" t="s">
        <v>713</v>
      </c>
      <c r="Y225" s="23"/>
      <c r="Z225" s="23"/>
      <c r="AA225" s="23"/>
      <c r="AB225" s="23"/>
      <c r="AC225" s="24"/>
    </row>
    <row r="226" spans="12:29" x14ac:dyDescent="0.35">
      <c r="L226" s="21">
        <v>223</v>
      </c>
      <c r="M226" s="22">
        <v>44927</v>
      </c>
      <c r="N226" s="23"/>
      <c r="O226" s="23">
        <f t="shared" ca="1" si="34"/>
        <v>30</v>
      </c>
      <c r="P226" s="23">
        <f t="shared" ca="1" si="35"/>
        <v>26</v>
      </c>
      <c r="Q226" s="23">
        <f t="shared" ca="1" si="36"/>
        <v>110</v>
      </c>
      <c r="R226" s="23">
        <f t="shared" ca="1" si="37"/>
        <v>3</v>
      </c>
      <c r="S226" s="23" t="str">
        <f t="shared" ca="1" si="38"/>
        <v>78/Z, Zinnia Street, Madurai, 625001</v>
      </c>
      <c r="T226" s="23">
        <f t="shared" ca="1" si="39"/>
        <v>250</v>
      </c>
      <c r="U226" s="33" t="str">
        <f t="shared" ca="1" si="40"/>
        <v>20%</v>
      </c>
      <c r="V226" s="29">
        <f t="shared" ca="1" si="41"/>
        <v>750</v>
      </c>
      <c r="W226" s="29">
        <f t="shared" ca="1" si="42"/>
        <v>600</v>
      </c>
      <c r="X226" s="23" t="s">
        <v>713</v>
      </c>
      <c r="Y226" s="23"/>
      <c r="Z226" s="23"/>
      <c r="AA226" s="23"/>
      <c r="AB226" s="23"/>
      <c r="AC226" s="24"/>
    </row>
    <row r="227" spans="12:29" x14ac:dyDescent="0.35">
      <c r="L227" s="21">
        <v>224</v>
      </c>
      <c r="M227" s="22">
        <v>44927</v>
      </c>
      <c r="N227" s="23"/>
      <c r="O227" s="23">
        <f t="shared" ca="1" si="34"/>
        <v>97</v>
      </c>
      <c r="P227" s="23">
        <f t="shared" ca="1" si="35"/>
        <v>103</v>
      </c>
      <c r="Q227" s="23">
        <f t="shared" ca="1" si="36"/>
        <v>142</v>
      </c>
      <c r="R227" s="23">
        <f t="shared" ca="1" si="37"/>
        <v>3</v>
      </c>
      <c r="S227" s="23" t="str">
        <f t="shared" ca="1" si="38"/>
        <v>34/CY, Yew Road, Valsad, 396001</v>
      </c>
      <c r="T227" s="23">
        <f t="shared" ca="1" si="39"/>
        <v>80</v>
      </c>
      <c r="U227" s="33" t="str">
        <f t="shared" ca="1" si="40"/>
        <v>0</v>
      </c>
      <c r="V227" s="29">
        <f t="shared" ca="1" si="41"/>
        <v>240</v>
      </c>
      <c r="W227" s="29">
        <f t="shared" ca="1" si="42"/>
        <v>240</v>
      </c>
      <c r="X227" s="23" t="s">
        <v>713</v>
      </c>
      <c r="Y227" s="23"/>
      <c r="Z227" s="23"/>
      <c r="AA227" s="23"/>
      <c r="AB227" s="23"/>
      <c r="AC227" s="24"/>
    </row>
    <row r="228" spans="12:29" x14ac:dyDescent="0.35">
      <c r="L228" s="21">
        <v>225</v>
      </c>
      <c r="M228" s="22">
        <v>44927</v>
      </c>
      <c r="N228" s="23"/>
      <c r="O228" s="23">
        <f t="shared" ca="1" si="34"/>
        <v>30</v>
      </c>
      <c r="P228" s="23">
        <f t="shared" ca="1" si="35"/>
        <v>115</v>
      </c>
      <c r="Q228" s="23">
        <f t="shared" ca="1" si="36"/>
        <v>124</v>
      </c>
      <c r="R228" s="23">
        <f t="shared" ca="1" si="37"/>
        <v>2</v>
      </c>
      <c r="S228" s="23" t="str">
        <f t="shared" ca="1" si="38"/>
        <v>45/DK, Kale Lane, Anand, 388001</v>
      </c>
      <c r="T228" s="23">
        <f t="shared" ca="1" si="39"/>
        <v>250</v>
      </c>
      <c r="U228" s="33" t="str">
        <f t="shared" ca="1" si="40"/>
        <v>20%</v>
      </c>
      <c r="V228" s="29">
        <f t="shared" ca="1" si="41"/>
        <v>500</v>
      </c>
      <c r="W228" s="29">
        <f t="shared" ca="1" si="42"/>
        <v>400</v>
      </c>
      <c r="X228" s="23" t="s">
        <v>713</v>
      </c>
      <c r="Y228" s="23"/>
      <c r="Z228" s="23"/>
      <c r="AA228" s="23"/>
      <c r="AB228" s="23"/>
      <c r="AC228" s="24"/>
    </row>
    <row r="229" spans="12:29" x14ac:dyDescent="0.35">
      <c r="L229" s="21">
        <v>226</v>
      </c>
      <c r="M229" s="22">
        <v>44927</v>
      </c>
      <c r="N229" s="23"/>
      <c r="O229" s="23">
        <f t="shared" ca="1" si="34"/>
        <v>51</v>
      </c>
      <c r="P229" s="23">
        <f t="shared" ca="1" si="35"/>
        <v>185</v>
      </c>
      <c r="Q229" s="23">
        <f t="shared" ca="1" si="36"/>
        <v>161</v>
      </c>
      <c r="R229" s="23">
        <f t="shared" ca="1" si="37"/>
        <v>6</v>
      </c>
      <c r="S229" s="23" t="str">
        <f t="shared" ca="1" si="38"/>
        <v>89/GC, Camellia Road, Kishanganj, 855107</v>
      </c>
      <c r="T229" s="23">
        <f t="shared" ca="1" si="39"/>
        <v>190</v>
      </c>
      <c r="U229" s="33" t="str">
        <f t="shared" ca="1" si="40"/>
        <v>10%</v>
      </c>
      <c r="V229" s="29">
        <f t="shared" ca="1" si="41"/>
        <v>1140</v>
      </c>
      <c r="W229" s="29">
        <f t="shared" ca="1" si="42"/>
        <v>1026</v>
      </c>
      <c r="X229" s="23" t="s">
        <v>714</v>
      </c>
      <c r="Y229" s="23"/>
      <c r="Z229" s="23"/>
      <c r="AA229" s="23"/>
      <c r="AB229" s="23"/>
      <c r="AC229" s="24"/>
    </row>
    <row r="230" spans="12:29" x14ac:dyDescent="0.35">
      <c r="L230" s="21">
        <v>227</v>
      </c>
      <c r="M230" s="22">
        <v>44927</v>
      </c>
      <c r="N230" s="23"/>
      <c r="O230" s="23">
        <f t="shared" ca="1" si="34"/>
        <v>66</v>
      </c>
      <c r="P230" s="23">
        <f t="shared" ca="1" si="35"/>
        <v>24</v>
      </c>
      <c r="Q230" s="23">
        <f t="shared" ca="1" si="36"/>
        <v>126</v>
      </c>
      <c r="R230" s="23">
        <f t="shared" ca="1" si="37"/>
        <v>6</v>
      </c>
      <c r="S230" s="23" t="str">
        <f t="shared" ca="1" si="38"/>
        <v>78/X, Xylophone Avenue, Allahabad, 211001</v>
      </c>
      <c r="T230" s="23">
        <f t="shared" ca="1" si="39"/>
        <v>80</v>
      </c>
      <c r="U230" s="33" t="str">
        <f t="shared" ca="1" si="40"/>
        <v>0</v>
      </c>
      <c r="V230" s="29">
        <f t="shared" ca="1" si="41"/>
        <v>480</v>
      </c>
      <c r="W230" s="29">
        <f t="shared" ca="1" si="42"/>
        <v>480</v>
      </c>
      <c r="X230" s="23" t="s">
        <v>714</v>
      </c>
      <c r="Y230" s="23"/>
      <c r="Z230" s="23"/>
      <c r="AA230" s="23"/>
      <c r="AB230" s="23"/>
      <c r="AC230" s="24"/>
    </row>
    <row r="231" spans="12:29" x14ac:dyDescent="0.35">
      <c r="L231" s="21">
        <v>228</v>
      </c>
      <c r="M231" s="22">
        <v>44927</v>
      </c>
      <c r="N231" s="23"/>
      <c r="O231" s="23">
        <f t="shared" ca="1" si="34"/>
        <v>43</v>
      </c>
      <c r="P231" s="23">
        <f t="shared" ca="1" si="35"/>
        <v>98</v>
      </c>
      <c r="Q231" s="23">
        <f t="shared" ca="1" si="36"/>
        <v>146</v>
      </c>
      <c r="R231" s="23">
        <f t="shared" ca="1" si="37"/>
        <v>4</v>
      </c>
      <c r="S231" s="23" t="str">
        <f t="shared" ca="1" si="38"/>
        <v>78/CT, Tulip Avenue, Tiruppur, 641601</v>
      </c>
      <c r="T231" s="23">
        <f t="shared" ca="1" si="39"/>
        <v>40</v>
      </c>
      <c r="U231" s="33" t="str">
        <f t="shared" ca="1" si="40"/>
        <v>0</v>
      </c>
      <c r="V231" s="29">
        <f t="shared" ca="1" si="41"/>
        <v>160</v>
      </c>
      <c r="W231" s="29">
        <f t="shared" ca="1" si="42"/>
        <v>160</v>
      </c>
      <c r="X231" s="23" t="s">
        <v>714</v>
      </c>
      <c r="Y231" s="23"/>
      <c r="Z231" s="23"/>
      <c r="AA231" s="23"/>
      <c r="AB231" s="23"/>
      <c r="AC231" s="24"/>
    </row>
    <row r="232" spans="12:29" x14ac:dyDescent="0.35">
      <c r="L232" s="21">
        <v>229</v>
      </c>
      <c r="M232" s="22">
        <v>44927</v>
      </c>
      <c r="N232" s="23"/>
      <c r="O232" s="23">
        <f t="shared" ca="1" si="34"/>
        <v>1</v>
      </c>
      <c r="P232" s="23">
        <f t="shared" ca="1" si="35"/>
        <v>186</v>
      </c>
      <c r="Q232" s="23">
        <f t="shared" ca="1" si="36"/>
        <v>137</v>
      </c>
      <c r="R232" s="23">
        <f t="shared" ca="1" si="37"/>
        <v>8</v>
      </c>
      <c r="S232" s="23" t="str">
        <f t="shared" ca="1" si="38"/>
        <v>78/GD, Dahlia Lane, Kottayam, 686001</v>
      </c>
      <c r="T232" s="23">
        <f t="shared" ca="1" si="39"/>
        <v>150</v>
      </c>
      <c r="U232" s="33" t="str">
        <f t="shared" ca="1" si="40"/>
        <v>10%</v>
      </c>
      <c r="V232" s="29">
        <f t="shared" ca="1" si="41"/>
        <v>1200</v>
      </c>
      <c r="W232" s="29">
        <f t="shared" ca="1" si="42"/>
        <v>1080</v>
      </c>
      <c r="X232" s="23" t="s">
        <v>714</v>
      </c>
      <c r="Y232" s="23"/>
      <c r="Z232" s="23"/>
      <c r="AA232" s="23"/>
      <c r="AB232" s="23"/>
      <c r="AC232" s="24"/>
    </row>
    <row r="233" spans="12:29" x14ac:dyDescent="0.35">
      <c r="L233" s="21">
        <v>230</v>
      </c>
      <c r="M233" s="22">
        <v>44927</v>
      </c>
      <c r="N233" s="23"/>
      <c r="O233" s="23">
        <f t="shared" ca="1" si="34"/>
        <v>46</v>
      </c>
      <c r="P233" s="23">
        <f t="shared" ca="1" si="35"/>
        <v>182</v>
      </c>
      <c r="Q233" s="23">
        <f t="shared" ca="1" si="36"/>
        <v>145</v>
      </c>
      <c r="R233" s="23">
        <f t="shared" ca="1" si="37"/>
        <v>9</v>
      </c>
      <c r="S233" s="23" t="str">
        <f t="shared" ca="1" si="38"/>
        <v>67/FZ, Zinnia Lane, Kanchipuram, 631501</v>
      </c>
      <c r="T233" s="23">
        <f t="shared" ca="1" si="39"/>
        <v>40</v>
      </c>
      <c r="U233" s="33" t="str">
        <f t="shared" ca="1" si="40"/>
        <v>0</v>
      </c>
      <c r="V233" s="29">
        <f t="shared" ca="1" si="41"/>
        <v>360</v>
      </c>
      <c r="W233" s="29">
        <f t="shared" ca="1" si="42"/>
        <v>360</v>
      </c>
      <c r="X233" s="23" t="s">
        <v>714</v>
      </c>
      <c r="Y233" s="23"/>
      <c r="Z233" s="23"/>
      <c r="AA233" s="23"/>
      <c r="AB233" s="23"/>
      <c r="AC233" s="24"/>
    </row>
    <row r="234" spans="12:29" x14ac:dyDescent="0.35">
      <c r="L234" s="21">
        <v>231</v>
      </c>
      <c r="M234" s="22">
        <v>44927</v>
      </c>
      <c r="N234" s="23"/>
      <c r="O234" s="23">
        <f t="shared" ca="1" si="34"/>
        <v>31</v>
      </c>
      <c r="P234" s="23">
        <f t="shared" ca="1" si="35"/>
        <v>26</v>
      </c>
      <c r="Q234" s="23">
        <f t="shared" ca="1" si="36"/>
        <v>130</v>
      </c>
      <c r="R234" s="23">
        <f t="shared" ca="1" si="37"/>
        <v>8</v>
      </c>
      <c r="S234" s="23" t="str">
        <f t="shared" ca="1" si="38"/>
        <v>78/Z, Zinnia Street, Madurai, 625001</v>
      </c>
      <c r="T234" s="23">
        <f t="shared" ca="1" si="39"/>
        <v>190</v>
      </c>
      <c r="U234" s="33" t="str">
        <f t="shared" ca="1" si="40"/>
        <v>10%</v>
      </c>
      <c r="V234" s="29">
        <f t="shared" ca="1" si="41"/>
        <v>1520</v>
      </c>
      <c r="W234" s="29">
        <f t="shared" ca="1" si="42"/>
        <v>1368</v>
      </c>
      <c r="X234" s="23" t="s">
        <v>714</v>
      </c>
      <c r="Y234" s="23"/>
      <c r="Z234" s="23"/>
      <c r="AA234" s="23"/>
      <c r="AB234" s="23"/>
      <c r="AC234" s="24"/>
    </row>
    <row r="235" spans="12:29" x14ac:dyDescent="0.35">
      <c r="L235" s="21">
        <v>232</v>
      </c>
      <c r="M235" s="22">
        <v>44927</v>
      </c>
      <c r="N235" s="23"/>
      <c r="O235" s="23">
        <f t="shared" ca="1" si="34"/>
        <v>38</v>
      </c>
      <c r="P235" s="23">
        <f t="shared" ca="1" si="35"/>
        <v>61</v>
      </c>
      <c r="Q235" s="23">
        <f t="shared" ca="1" si="36"/>
        <v>152</v>
      </c>
      <c r="R235" s="23">
        <f t="shared" ca="1" si="37"/>
        <v>2</v>
      </c>
      <c r="S235" s="23" t="str">
        <f t="shared" ca="1" si="38"/>
        <v>23/BI, Ixora Road, Raichur, 584101</v>
      </c>
      <c r="T235" s="23">
        <f t="shared" ca="1" si="39"/>
        <v>240</v>
      </c>
      <c r="U235" s="33" t="str">
        <f t="shared" ca="1" si="40"/>
        <v>20%</v>
      </c>
      <c r="V235" s="29">
        <f t="shared" ca="1" si="41"/>
        <v>480</v>
      </c>
      <c r="W235" s="29">
        <f t="shared" ca="1" si="42"/>
        <v>384</v>
      </c>
      <c r="X235" s="23" t="s">
        <v>714</v>
      </c>
      <c r="Y235" s="23"/>
      <c r="Z235" s="23"/>
      <c r="AA235" s="23"/>
      <c r="AB235" s="23"/>
      <c r="AC235" s="24"/>
    </row>
    <row r="236" spans="12:29" x14ac:dyDescent="0.35">
      <c r="L236" s="21">
        <v>233</v>
      </c>
      <c r="M236" s="22">
        <v>44927</v>
      </c>
      <c r="N236" s="23"/>
      <c r="O236" s="23">
        <f t="shared" ca="1" si="34"/>
        <v>43</v>
      </c>
      <c r="P236" s="23">
        <f t="shared" ca="1" si="35"/>
        <v>82</v>
      </c>
      <c r="Q236" s="23">
        <f t="shared" ca="1" si="36"/>
        <v>165</v>
      </c>
      <c r="R236" s="23">
        <f t="shared" ca="1" si="37"/>
        <v>5</v>
      </c>
      <c r="S236" s="23" t="str">
        <f t="shared" ca="1" si="38"/>
        <v>78/CD, Dahlia Road, Rourkela, 769001</v>
      </c>
      <c r="T236" s="23">
        <f t="shared" ca="1" si="39"/>
        <v>40</v>
      </c>
      <c r="U236" s="33" t="str">
        <f t="shared" ca="1" si="40"/>
        <v>0</v>
      </c>
      <c r="V236" s="29">
        <f t="shared" ca="1" si="41"/>
        <v>200</v>
      </c>
      <c r="W236" s="29">
        <f t="shared" ca="1" si="42"/>
        <v>200</v>
      </c>
      <c r="X236" s="23" t="s">
        <v>714</v>
      </c>
      <c r="Y236" s="23"/>
      <c r="Z236" s="23"/>
      <c r="AA236" s="23"/>
      <c r="AB236" s="23"/>
      <c r="AC236" s="24"/>
    </row>
    <row r="237" spans="12:29" x14ac:dyDescent="0.35">
      <c r="L237" s="21">
        <v>234</v>
      </c>
      <c r="M237" s="22">
        <v>44927</v>
      </c>
      <c r="N237" s="23"/>
      <c r="O237" s="23">
        <f t="shared" ca="1" si="34"/>
        <v>22</v>
      </c>
      <c r="P237" s="23">
        <f t="shared" ca="1" si="35"/>
        <v>48</v>
      </c>
      <c r="Q237" s="23">
        <f t="shared" ca="1" si="36"/>
        <v>140</v>
      </c>
      <c r="R237" s="23">
        <f t="shared" ca="1" si="37"/>
        <v>7</v>
      </c>
      <c r="S237" s="23" t="str">
        <f t="shared" ca="1" si="38"/>
        <v>78/AV, Verbena Lane, Durgapur, 713201</v>
      </c>
      <c r="T237" s="23">
        <f t="shared" ca="1" si="39"/>
        <v>200</v>
      </c>
      <c r="U237" s="33" t="str">
        <f t="shared" ca="1" si="40"/>
        <v>20%</v>
      </c>
      <c r="V237" s="29">
        <f t="shared" ca="1" si="41"/>
        <v>1400</v>
      </c>
      <c r="W237" s="29">
        <f t="shared" ca="1" si="42"/>
        <v>1120</v>
      </c>
      <c r="X237" s="23" t="s">
        <v>714</v>
      </c>
      <c r="Y237" s="23"/>
      <c r="Z237" s="23"/>
      <c r="AA237" s="23"/>
      <c r="AB237" s="23"/>
      <c r="AC237" s="24"/>
    </row>
    <row r="238" spans="12:29" x14ac:dyDescent="0.35">
      <c r="L238" s="21">
        <v>235</v>
      </c>
      <c r="M238" s="22">
        <v>44927</v>
      </c>
      <c r="N238" s="23"/>
      <c r="O238" s="23">
        <f t="shared" ca="1" si="34"/>
        <v>51</v>
      </c>
      <c r="P238" s="23">
        <f t="shared" ca="1" si="35"/>
        <v>111</v>
      </c>
      <c r="Q238" s="23">
        <f t="shared" ca="1" si="36"/>
        <v>127</v>
      </c>
      <c r="R238" s="23">
        <f t="shared" ca="1" si="37"/>
        <v>3</v>
      </c>
      <c r="S238" s="23" t="str">
        <f t="shared" ca="1" si="38"/>
        <v>34/DG, Gardenia Street, Ajmer, 305001</v>
      </c>
      <c r="T238" s="23">
        <f t="shared" ca="1" si="39"/>
        <v>190</v>
      </c>
      <c r="U238" s="33" t="str">
        <f t="shared" ca="1" si="40"/>
        <v>10%</v>
      </c>
      <c r="V238" s="29">
        <f t="shared" ca="1" si="41"/>
        <v>570</v>
      </c>
      <c r="W238" s="29">
        <f t="shared" ca="1" si="42"/>
        <v>513</v>
      </c>
      <c r="X238" s="23" t="s">
        <v>714</v>
      </c>
      <c r="Y238" s="23"/>
      <c r="Z238" s="23"/>
      <c r="AA238" s="23"/>
      <c r="AB238" s="23"/>
      <c r="AC238" s="24"/>
    </row>
    <row r="239" spans="12:29" x14ac:dyDescent="0.35">
      <c r="L239" s="21">
        <v>236</v>
      </c>
      <c r="M239" s="22">
        <v>44927</v>
      </c>
      <c r="N239" s="23"/>
      <c r="O239" s="23">
        <f t="shared" ca="1" si="34"/>
        <v>31</v>
      </c>
      <c r="P239" s="23">
        <f t="shared" ca="1" si="35"/>
        <v>16</v>
      </c>
      <c r="Q239" s="23">
        <f t="shared" ca="1" si="36"/>
        <v>109</v>
      </c>
      <c r="R239" s="23">
        <f t="shared" ca="1" si="37"/>
        <v>2</v>
      </c>
      <c r="S239" s="23" t="str">
        <f t="shared" ca="1" si="38"/>
        <v>78/P, Petunia Avenue, Thane, 400601</v>
      </c>
      <c r="T239" s="23">
        <f t="shared" ca="1" si="39"/>
        <v>190</v>
      </c>
      <c r="U239" s="33" t="str">
        <f t="shared" ca="1" si="40"/>
        <v>10%</v>
      </c>
      <c r="V239" s="29">
        <f t="shared" ca="1" si="41"/>
        <v>380</v>
      </c>
      <c r="W239" s="29">
        <f t="shared" ca="1" si="42"/>
        <v>342</v>
      </c>
      <c r="X239" s="23" t="s">
        <v>714</v>
      </c>
      <c r="Y239" s="23"/>
      <c r="Z239" s="23"/>
      <c r="AA239" s="23"/>
      <c r="AB239" s="23"/>
      <c r="AC239" s="24"/>
    </row>
    <row r="240" spans="12:29" x14ac:dyDescent="0.35">
      <c r="L240" s="21">
        <v>237</v>
      </c>
      <c r="M240" s="22">
        <v>44927</v>
      </c>
      <c r="N240" s="23"/>
      <c r="O240" s="23">
        <f t="shared" ca="1" si="34"/>
        <v>98</v>
      </c>
      <c r="P240" s="23">
        <f t="shared" ca="1" si="35"/>
        <v>26</v>
      </c>
      <c r="Q240" s="23">
        <f t="shared" ca="1" si="36"/>
        <v>144</v>
      </c>
      <c r="R240" s="23">
        <f t="shared" ca="1" si="37"/>
        <v>7</v>
      </c>
      <c r="S240" s="23" t="str">
        <f t="shared" ca="1" si="38"/>
        <v>78/Z, Zinnia Street, Madurai, 625001</v>
      </c>
      <c r="T240" s="23">
        <f t="shared" ca="1" si="39"/>
        <v>80</v>
      </c>
      <c r="U240" s="33" t="str">
        <f t="shared" ca="1" si="40"/>
        <v>0</v>
      </c>
      <c r="V240" s="29">
        <f t="shared" ca="1" si="41"/>
        <v>560</v>
      </c>
      <c r="W240" s="29">
        <f t="shared" ca="1" si="42"/>
        <v>560</v>
      </c>
      <c r="X240" s="23" t="s">
        <v>714</v>
      </c>
      <c r="Y240" s="23"/>
      <c r="Z240" s="23"/>
      <c r="AA240" s="23"/>
      <c r="AB240" s="23"/>
      <c r="AC240" s="24"/>
    </row>
    <row r="241" spans="12:29" x14ac:dyDescent="0.35">
      <c r="L241" s="21">
        <v>238</v>
      </c>
      <c r="M241" s="22">
        <v>44927</v>
      </c>
      <c r="N241" s="23"/>
      <c r="O241" s="23">
        <f t="shared" ca="1" si="34"/>
        <v>6</v>
      </c>
      <c r="P241" s="23">
        <f t="shared" ca="1" si="35"/>
        <v>2</v>
      </c>
      <c r="Q241" s="23">
        <f t="shared" ca="1" si="36"/>
        <v>125</v>
      </c>
      <c r="R241" s="23">
        <f t="shared" ca="1" si="37"/>
        <v>9</v>
      </c>
      <c r="S241" s="23" t="str">
        <f t="shared" ca="1" si="38"/>
        <v>45/B, Lotus Road, Mumbai, 400001</v>
      </c>
      <c r="T241" s="23">
        <f t="shared" ca="1" si="39"/>
        <v>220</v>
      </c>
      <c r="U241" s="33" t="str">
        <f t="shared" ca="1" si="40"/>
        <v>20%</v>
      </c>
      <c r="V241" s="29">
        <f t="shared" ca="1" si="41"/>
        <v>1980</v>
      </c>
      <c r="W241" s="29">
        <f t="shared" ca="1" si="42"/>
        <v>1584</v>
      </c>
      <c r="X241" s="23" t="s">
        <v>713</v>
      </c>
      <c r="Y241" s="23"/>
      <c r="Z241" s="23"/>
      <c r="AA241" s="23"/>
      <c r="AB241" s="23"/>
      <c r="AC241" s="24"/>
    </row>
    <row r="242" spans="12:29" x14ac:dyDescent="0.35">
      <c r="L242" s="21">
        <v>239</v>
      </c>
      <c r="M242" s="22">
        <v>44927</v>
      </c>
      <c r="N242" s="23"/>
      <c r="O242" s="23">
        <f t="shared" ca="1" si="34"/>
        <v>39</v>
      </c>
      <c r="P242" s="23">
        <f t="shared" ca="1" si="35"/>
        <v>134</v>
      </c>
      <c r="Q242" s="23">
        <f t="shared" ca="1" si="36"/>
        <v>120</v>
      </c>
      <c r="R242" s="23">
        <f t="shared" ca="1" si="37"/>
        <v>9</v>
      </c>
      <c r="S242" s="23" t="str">
        <f t="shared" ca="1" si="38"/>
        <v>67/ED, Dahlia Road, Chhindwara, 480001</v>
      </c>
      <c r="T242" s="23">
        <f t="shared" ca="1" si="39"/>
        <v>250</v>
      </c>
      <c r="U242" s="33" t="str">
        <f t="shared" ca="1" si="40"/>
        <v>20%</v>
      </c>
      <c r="V242" s="29">
        <f t="shared" ca="1" si="41"/>
        <v>2250</v>
      </c>
      <c r="W242" s="29">
        <f t="shared" ca="1" si="42"/>
        <v>1800</v>
      </c>
      <c r="X242" s="23" t="s">
        <v>713</v>
      </c>
      <c r="Y242" s="23"/>
      <c r="Z242" s="23"/>
      <c r="AA242" s="23"/>
      <c r="AB242" s="23"/>
      <c r="AC242" s="24"/>
    </row>
    <row r="243" spans="12:29" x14ac:dyDescent="0.35">
      <c r="L243" s="21">
        <v>240</v>
      </c>
      <c r="M243" s="22">
        <v>44927</v>
      </c>
      <c r="N243" s="23"/>
      <c r="O243" s="23">
        <f t="shared" ca="1" si="34"/>
        <v>62</v>
      </c>
      <c r="P243" s="23">
        <f t="shared" ca="1" si="35"/>
        <v>34</v>
      </c>
      <c r="Q243" s="23">
        <f t="shared" ca="1" si="36"/>
        <v>167</v>
      </c>
      <c r="R243" s="23">
        <f t="shared" ca="1" si="37"/>
        <v>7</v>
      </c>
      <c r="S243" s="23" t="str">
        <f t="shared" ca="1" si="38"/>
        <v>78/AH, Hibiscus Road, Dehradun, 248001</v>
      </c>
      <c r="T243" s="23">
        <f t="shared" ca="1" si="39"/>
        <v>80</v>
      </c>
      <c r="U243" s="33" t="str">
        <f t="shared" ca="1" si="40"/>
        <v>0</v>
      </c>
      <c r="V243" s="29">
        <f t="shared" ca="1" si="41"/>
        <v>560</v>
      </c>
      <c r="W243" s="29">
        <f t="shared" ca="1" si="42"/>
        <v>560</v>
      </c>
      <c r="X243" s="23" t="s">
        <v>713</v>
      </c>
      <c r="Y243" s="23"/>
      <c r="Z243" s="23"/>
      <c r="AA243" s="23"/>
      <c r="AB243" s="23"/>
      <c r="AC243" s="24"/>
    </row>
    <row r="244" spans="12:29" x14ac:dyDescent="0.35">
      <c r="L244" s="21">
        <v>241</v>
      </c>
      <c r="M244" s="22">
        <v>44927</v>
      </c>
      <c r="N244" s="23"/>
      <c r="O244" s="23">
        <f t="shared" ca="1" si="34"/>
        <v>41</v>
      </c>
      <c r="P244" s="23">
        <f t="shared" ca="1" si="35"/>
        <v>48</v>
      </c>
      <c r="Q244" s="23">
        <f t="shared" ca="1" si="36"/>
        <v>115</v>
      </c>
      <c r="R244" s="23">
        <f t="shared" ca="1" si="37"/>
        <v>6</v>
      </c>
      <c r="S244" s="23" t="str">
        <f t="shared" ca="1" si="38"/>
        <v>78/AV, Verbena Lane, Durgapur, 713201</v>
      </c>
      <c r="T244" s="23">
        <f t="shared" ca="1" si="39"/>
        <v>30</v>
      </c>
      <c r="U244" s="33" t="str">
        <f t="shared" ca="1" si="40"/>
        <v>0</v>
      </c>
      <c r="V244" s="29">
        <f t="shared" ca="1" si="41"/>
        <v>180</v>
      </c>
      <c r="W244" s="29">
        <f t="shared" ca="1" si="42"/>
        <v>180</v>
      </c>
      <c r="X244" s="23" t="s">
        <v>713</v>
      </c>
      <c r="Y244" s="23"/>
      <c r="Z244" s="23"/>
      <c r="AA244" s="23"/>
      <c r="AB244" s="23"/>
      <c r="AC244" s="24"/>
    </row>
    <row r="245" spans="12:29" x14ac:dyDescent="0.35">
      <c r="L245" s="21">
        <v>242</v>
      </c>
      <c r="M245" s="22">
        <v>44927</v>
      </c>
      <c r="N245" s="23"/>
      <c r="O245" s="23">
        <f t="shared" ca="1" si="34"/>
        <v>85</v>
      </c>
      <c r="P245" s="23">
        <f t="shared" ca="1" si="35"/>
        <v>158</v>
      </c>
      <c r="Q245" s="23">
        <f t="shared" ca="1" si="36"/>
        <v>125</v>
      </c>
      <c r="R245" s="23">
        <f t="shared" ca="1" si="37"/>
        <v>6</v>
      </c>
      <c r="S245" s="23" t="str">
        <f t="shared" ca="1" si="38"/>
        <v>67/FB, Bluebell Lane, Hanumangarh, 335513</v>
      </c>
      <c r="T245" s="23">
        <f t="shared" ca="1" si="39"/>
        <v>40</v>
      </c>
      <c r="U245" s="33" t="str">
        <f t="shared" ca="1" si="40"/>
        <v>0</v>
      </c>
      <c r="V245" s="29">
        <f t="shared" ca="1" si="41"/>
        <v>240</v>
      </c>
      <c r="W245" s="29">
        <f t="shared" ca="1" si="42"/>
        <v>240</v>
      </c>
      <c r="X245" s="23" t="s">
        <v>713</v>
      </c>
      <c r="Y245" s="23"/>
      <c r="Z245" s="23"/>
      <c r="AA245" s="23"/>
      <c r="AB245" s="23"/>
      <c r="AC245" s="24"/>
    </row>
    <row r="246" spans="12:29" x14ac:dyDescent="0.35">
      <c r="L246" s="21">
        <v>243</v>
      </c>
      <c r="M246" s="22">
        <v>44927</v>
      </c>
      <c r="N246" s="23"/>
      <c r="O246" s="23">
        <f t="shared" ca="1" si="34"/>
        <v>79</v>
      </c>
      <c r="P246" s="23">
        <f t="shared" ca="1" si="35"/>
        <v>178</v>
      </c>
      <c r="Q246" s="23">
        <f t="shared" ca="1" si="36"/>
        <v>118</v>
      </c>
      <c r="R246" s="23">
        <f t="shared" ca="1" si="37"/>
        <v>8</v>
      </c>
      <c r="S246" s="23" t="str">
        <f t="shared" ca="1" si="38"/>
        <v>78/FV, Verbena Lane, Junagadh, 362001</v>
      </c>
      <c r="T246" s="23">
        <f t="shared" ca="1" si="39"/>
        <v>90</v>
      </c>
      <c r="U246" s="33" t="str">
        <f t="shared" ca="1" si="40"/>
        <v>0</v>
      </c>
      <c r="V246" s="29">
        <f t="shared" ca="1" si="41"/>
        <v>720</v>
      </c>
      <c r="W246" s="29">
        <f t="shared" ca="1" si="42"/>
        <v>720</v>
      </c>
      <c r="X246" s="23" t="s">
        <v>713</v>
      </c>
      <c r="Y246" s="23"/>
      <c r="Z246" s="23"/>
      <c r="AA246" s="23"/>
      <c r="AB246" s="23"/>
      <c r="AC246" s="24"/>
    </row>
    <row r="247" spans="12:29" x14ac:dyDescent="0.35">
      <c r="L247" s="21">
        <v>244</v>
      </c>
      <c r="M247" s="22">
        <v>44927</v>
      </c>
      <c r="N247" s="23"/>
      <c r="O247" s="23">
        <f t="shared" ca="1" si="34"/>
        <v>27</v>
      </c>
      <c r="P247" s="23">
        <f t="shared" ca="1" si="35"/>
        <v>138</v>
      </c>
      <c r="Q247" s="23">
        <f t="shared" ca="1" si="36"/>
        <v>121</v>
      </c>
      <c r="R247" s="23">
        <f t="shared" ca="1" si="37"/>
        <v>10</v>
      </c>
      <c r="S247" s="23" t="str">
        <f t="shared" ca="1" si="38"/>
        <v>78/EH, Hibiscus Street, Darbhanga, 846004</v>
      </c>
      <c r="T247" s="23">
        <f t="shared" ca="1" si="39"/>
        <v>260</v>
      </c>
      <c r="U247" s="33" t="str">
        <f t="shared" ca="1" si="40"/>
        <v>20%</v>
      </c>
      <c r="V247" s="29">
        <f t="shared" ca="1" si="41"/>
        <v>2600</v>
      </c>
      <c r="W247" s="29">
        <f t="shared" ca="1" si="42"/>
        <v>2080</v>
      </c>
      <c r="X247" s="23" t="s">
        <v>713</v>
      </c>
      <c r="Y247" s="23"/>
      <c r="Z247" s="23"/>
      <c r="AA247" s="23"/>
      <c r="AB247" s="23"/>
      <c r="AC247" s="24"/>
    </row>
    <row r="248" spans="12:29" x14ac:dyDescent="0.35">
      <c r="L248" s="21">
        <v>245</v>
      </c>
      <c r="M248" s="22">
        <v>44927</v>
      </c>
      <c r="N248" s="23"/>
      <c r="O248" s="23">
        <f t="shared" ca="1" si="34"/>
        <v>95</v>
      </c>
      <c r="P248" s="23">
        <f t="shared" ca="1" si="35"/>
        <v>26</v>
      </c>
      <c r="Q248" s="23">
        <f t="shared" ca="1" si="36"/>
        <v>117</v>
      </c>
      <c r="R248" s="23">
        <f t="shared" ca="1" si="37"/>
        <v>3</v>
      </c>
      <c r="S248" s="23" t="str">
        <f t="shared" ca="1" si="38"/>
        <v>78/Z, Zinnia Street, Madurai, 625001</v>
      </c>
      <c r="T248" s="23">
        <f t="shared" ca="1" si="39"/>
        <v>110</v>
      </c>
      <c r="U248" s="33" t="str">
        <f t="shared" ca="1" si="40"/>
        <v>5%</v>
      </c>
      <c r="V248" s="29">
        <f t="shared" ca="1" si="41"/>
        <v>330</v>
      </c>
      <c r="W248" s="29">
        <f t="shared" ca="1" si="42"/>
        <v>313.5</v>
      </c>
      <c r="X248" s="23" t="s">
        <v>713</v>
      </c>
      <c r="Y248" s="23"/>
      <c r="Z248" s="23"/>
      <c r="AA248" s="23"/>
      <c r="AB248" s="23"/>
      <c r="AC248" s="24"/>
    </row>
    <row r="249" spans="12:29" x14ac:dyDescent="0.35">
      <c r="L249" s="21">
        <v>246</v>
      </c>
      <c r="M249" s="22">
        <v>44927</v>
      </c>
      <c r="N249" s="23"/>
      <c r="O249" s="23">
        <f t="shared" ca="1" si="34"/>
        <v>86</v>
      </c>
      <c r="P249" s="23">
        <f t="shared" ca="1" si="35"/>
        <v>59</v>
      </c>
      <c r="Q249" s="23">
        <f t="shared" ca="1" si="36"/>
        <v>146</v>
      </c>
      <c r="R249" s="23">
        <f t="shared" ca="1" si="37"/>
        <v>1</v>
      </c>
      <c r="S249" s="23" t="str">
        <f t="shared" ca="1" si="38"/>
        <v>45/BG, Geranium Lane, Kollam, 691001</v>
      </c>
      <c r="T249" s="23">
        <f t="shared" ca="1" si="39"/>
        <v>40</v>
      </c>
      <c r="U249" s="33" t="str">
        <f t="shared" ca="1" si="40"/>
        <v>0</v>
      </c>
      <c r="V249" s="29">
        <f t="shared" ca="1" si="41"/>
        <v>40</v>
      </c>
      <c r="W249" s="29">
        <f t="shared" ca="1" si="42"/>
        <v>40</v>
      </c>
      <c r="X249" s="23" t="s">
        <v>713</v>
      </c>
      <c r="Y249" s="23"/>
      <c r="Z249" s="23"/>
      <c r="AA249" s="23"/>
      <c r="AB249" s="23"/>
      <c r="AC249" s="24"/>
    </row>
    <row r="250" spans="12:29" x14ac:dyDescent="0.35">
      <c r="L250" s="21">
        <v>247</v>
      </c>
      <c r="M250" s="22">
        <v>44927</v>
      </c>
      <c r="N250" s="23"/>
      <c r="O250" s="23">
        <f t="shared" ca="1" si="34"/>
        <v>94</v>
      </c>
      <c r="P250" s="23">
        <f t="shared" ca="1" si="35"/>
        <v>60</v>
      </c>
      <c r="Q250" s="23">
        <f t="shared" ca="1" si="36"/>
        <v>142</v>
      </c>
      <c r="R250" s="23">
        <f t="shared" ca="1" si="37"/>
        <v>4</v>
      </c>
      <c r="S250" s="23" t="str">
        <f t="shared" ca="1" si="38"/>
        <v>56/BH, Honeysuckle Street, Mysore, 570001</v>
      </c>
      <c r="T250" s="23">
        <f t="shared" ca="1" si="39"/>
        <v>110</v>
      </c>
      <c r="U250" s="33" t="str">
        <f t="shared" ca="1" si="40"/>
        <v>5%</v>
      </c>
      <c r="V250" s="29">
        <f t="shared" ca="1" si="41"/>
        <v>440</v>
      </c>
      <c r="W250" s="29">
        <f t="shared" ca="1" si="42"/>
        <v>418</v>
      </c>
      <c r="X250" s="23" t="s">
        <v>713</v>
      </c>
      <c r="Y250" s="23"/>
      <c r="Z250" s="23"/>
      <c r="AA250" s="23"/>
      <c r="AB250" s="23"/>
      <c r="AC250" s="24"/>
    </row>
    <row r="251" spans="12:29" x14ac:dyDescent="0.35">
      <c r="L251" s="21">
        <v>248</v>
      </c>
      <c r="M251" s="22">
        <v>44927</v>
      </c>
      <c r="N251" s="23"/>
      <c r="O251" s="23">
        <f t="shared" ca="1" si="34"/>
        <v>14</v>
      </c>
      <c r="P251" s="23">
        <f t="shared" ca="1" si="35"/>
        <v>128</v>
      </c>
      <c r="Q251" s="23">
        <f t="shared" ca="1" si="36"/>
        <v>129</v>
      </c>
      <c r="R251" s="23">
        <f t="shared" ca="1" si="37"/>
        <v>5</v>
      </c>
      <c r="S251" s="23" t="str">
        <f t="shared" ca="1" si="38"/>
        <v>78/DX, Xylophone Road, Bhuj, 370001</v>
      </c>
      <c r="T251" s="23">
        <f t="shared" ca="1" si="39"/>
        <v>170</v>
      </c>
      <c r="U251" s="33" t="str">
        <f t="shared" ca="1" si="40"/>
        <v>10%</v>
      </c>
      <c r="V251" s="29">
        <f t="shared" ca="1" si="41"/>
        <v>850</v>
      </c>
      <c r="W251" s="29">
        <f t="shared" ca="1" si="42"/>
        <v>765</v>
      </c>
      <c r="X251" s="23" t="s">
        <v>713</v>
      </c>
      <c r="Y251" s="23"/>
      <c r="Z251" s="23"/>
      <c r="AA251" s="23"/>
      <c r="AB251" s="23"/>
      <c r="AC251" s="24"/>
    </row>
    <row r="252" spans="12:29" x14ac:dyDescent="0.35">
      <c r="L252" s="21">
        <v>249</v>
      </c>
      <c r="M252" s="22">
        <v>44927</v>
      </c>
      <c r="N252" s="23"/>
      <c r="O252" s="23">
        <f t="shared" ca="1" si="34"/>
        <v>24</v>
      </c>
      <c r="P252" s="23">
        <f t="shared" ca="1" si="35"/>
        <v>146</v>
      </c>
      <c r="Q252" s="23">
        <f t="shared" ca="1" si="36"/>
        <v>165</v>
      </c>
      <c r="R252" s="23">
        <f t="shared" ca="1" si="37"/>
        <v>6</v>
      </c>
      <c r="S252" s="23" t="str">
        <f t="shared" ca="1" si="38"/>
        <v>78/EP, Petunia Avenue, Firozabad, 283203</v>
      </c>
      <c r="T252" s="23">
        <f t="shared" ca="1" si="39"/>
        <v>190</v>
      </c>
      <c r="U252" s="33" t="str">
        <f t="shared" ca="1" si="40"/>
        <v>10%</v>
      </c>
      <c r="V252" s="29">
        <f t="shared" ca="1" si="41"/>
        <v>1140</v>
      </c>
      <c r="W252" s="29">
        <f t="shared" ca="1" si="42"/>
        <v>1026</v>
      </c>
      <c r="X252" s="23" t="s">
        <v>713</v>
      </c>
      <c r="Y252" s="23"/>
      <c r="Z252" s="23"/>
      <c r="AA252" s="23"/>
      <c r="AB252" s="23"/>
      <c r="AC252" s="24"/>
    </row>
    <row r="253" spans="12:29" x14ac:dyDescent="0.35">
      <c r="L253" s="21">
        <v>250</v>
      </c>
      <c r="M253" s="22">
        <v>44927</v>
      </c>
      <c r="N253" s="23"/>
      <c r="O253" s="23">
        <f t="shared" ca="1" si="34"/>
        <v>61</v>
      </c>
      <c r="P253" s="23">
        <f t="shared" ca="1" si="35"/>
        <v>183</v>
      </c>
      <c r="Q253" s="23">
        <f t="shared" ca="1" si="36"/>
        <v>113</v>
      </c>
      <c r="R253" s="23">
        <f t="shared" ca="1" si="37"/>
        <v>5</v>
      </c>
      <c r="S253" s="23" t="str">
        <f t="shared" ca="1" si="38"/>
        <v>34/GA, Azalea Street, Kannur, 670001</v>
      </c>
      <c r="T253" s="23">
        <f t="shared" ca="1" si="39"/>
        <v>80</v>
      </c>
      <c r="U253" s="33" t="str">
        <f t="shared" ca="1" si="40"/>
        <v>0</v>
      </c>
      <c r="V253" s="29">
        <f t="shared" ca="1" si="41"/>
        <v>400</v>
      </c>
      <c r="W253" s="29">
        <f t="shared" ca="1" si="42"/>
        <v>400</v>
      </c>
      <c r="X253" s="23" t="s">
        <v>713</v>
      </c>
      <c r="Y253" s="23"/>
      <c r="Z253" s="23"/>
      <c r="AA253" s="23"/>
      <c r="AB253" s="23"/>
      <c r="AC253" s="24"/>
    </row>
    <row r="254" spans="12:29" x14ac:dyDescent="0.35">
      <c r="L254" s="21">
        <v>251</v>
      </c>
      <c r="M254" s="22">
        <v>44927</v>
      </c>
      <c r="N254" s="23"/>
      <c r="O254" s="23">
        <f t="shared" ca="1" si="34"/>
        <v>6</v>
      </c>
      <c r="P254" s="23">
        <f t="shared" ca="1" si="35"/>
        <v>17</v>
      </c>
      <c r="Q254" s="23">
        <f t="shared" ca="1" si="36"/>
        <v>165</v>
      </c>
      <c r="R254" s="23">
        <f t="shared" ca="1" si="37"/>
        <v>8</v>
      </c>
      <c r="S254" s="23" t="str">
        <f t="shared" ca="1" si="38"/>
        <v>89/Q, Quince Street, Nagpur, 440001</v>
      </c>
      <c r="T254" s="23">
        <f t="shared" ca="1" si="39"/>
        <v>220</v>
      </c>
      <c r="U254" s="33" t="str">
        <f t="shared" ca="1" si="40"/>
        <v>20%</v>
      </c>
      <c r="V254" s="29">
        <f t="shared" ca="1" si="41"/>
        <v>1760</v>
      </c>
      <c r="W254" s="29">
        <f t="shared" ca="1" si="42"/>
        <v>1408</v>
      </c>
      <c r="X254" s="23" t="s">
        <v>714</v>
      </c>
      <c r="Y254" s="23"/>
      <c r="Z254" s="23"/>
      <c r="AA254" s="23"/>
      <c r="AB254" s="23"/>
      <c r="AC254" s="24"/>
    </row>
    <row r="255" spans="12:29" x14ac:dyDescent="0.35">
      <c r="L255" s="21">
        <v>252</v>
      </c>
      <c r="M255" s="22">
        <v>44927</v>
      </c>
      <c r="N255" s="23"/>
      <c r="O255" s="23">
        <f t="shared" ca="1" si="34"/>
        <v>12</v>
      </c>
      <c r="P255" s="23">
        <f t="shared" ca="1" si="35"/>
        <v>30</v>
      </c>
      <c r="Q255" s="23">
        <f t="shared" ca="1" si="36"/>
        <v>113</v>
      </c>
      <c r="R255" s="23">
        <f t="shared" ca="1" si="37"/>
        <v>9</v>
      </c>
      <c r="S255" s="23" t="str">
        <f t="shared" ca="1" si="38"/>
        <v>67/AD, Dahlia Lane, Raipur, 492001</v>
      </c>
      <c r="T255" s="23">
        <f t="shared" ca="1" si="39"/>
        <v>150</v>
      </c>
      <c r="U255" s="33" t="str">
        <f t="shared" ca="1" si="40"/>
        <v>10%</v>
      </c>
      <c r="V255" s="29">
        <f t="shared" ca="1" si="41"/>
        <v>1350</v>
      </c>
      <c r="W255" s="29">
        <f t="shared" ca="1" si="42"/>
        <v>1215</v>
      </c>
      <c r="X255" s="23" t="s">
        <v>714</v>
      </c>
      <c r="Y255" s="23"/>
      <c r="Z255" s="23"/>
      <c r="AA255" s="23"/>
      <c r="AB255" s="23"/>
      <c r="AC255" s="24"/>
    </row>
    <row r="256" spans="12:29" x14ac:dyDescent="0.35">
      <c r="L256" s="21">
        <v>253</v>
      </c>
      <c r="M256" s="22">
        <v>44927</v>
      </c>
      <c r="N256" s="23"/>
      <c r="O256" s="23">
        <f t="shared" ca="1" si="34"/>
        <v>17</v>
      </c>
      <c r="P256" s="23">
        <f t="shared" ca="1" si="35"/>
        <v>137</v>
      </c>
      <c r="Q256" s="23">
        <f t="shared" ca="1" si="36"/>
        <v>128</v>
      </c>
      <c r="R256" s="23">
        <f t="shared" ca="1" si="37"/>
        <v>2</v>
      </c>
      <c r="S256" s="23" t="str">
        <f t="shared" ca="1" si="38"/>
        <v>89/EG, Gardenia Road, Daman, 396210</v>
      </c>
      <c r="T256" s="23">
        <f t="shared" ca="1" si="39"/>
        <v>220</v>
      </c>
      <c r="U256" s="33" t="str">
        <f t="shared" ca="1" si="40"/>
        <v>20%</v>
      </c>
      <c r="V256" s="29">
        <f t="shared" ca="1" si="41"/>
        <v>440</v>
      </c>
      <c r="W256" s="29">
        <f t="shared" ca="1" si="42"/>
        <v>352</v>
      </c>
      <c r="X256" s="23" t="s">
        <v>714</v>
      </c>
      <c r="Y256" s="23"/>
      <c r="Z256" s="23"/>
      <c r="AA256" s="23"/>
      <c r="AB256" s="23"/>
      <c r="AC256" s="24"/>
    </row>
    <row r="257" spans="12:29" x14ac:dyDescent="0.35">
      <c r="L257" s="21">
        <v>254</v>
      </c>
      <c r="M257" s="22">
        <v>44927</v>
      </c>
      <c r="N257" s="23"/>
      <c r="O257" s="23">
        <f t="shared" ca="1" si="34"/>
        <v>53</v>
      </c>
      <c r="P257" s="23">
        <f t="shared" ca="1" si="35"/>
        <v>176</v>
      </c>
      <c r="Q257" s="23">
        <f t="shared" ca="1" si="36"/>
        <v>116</v>
      </c>
      <c r="R257" s="23">
        <f t="shared" ca="1" si="37"/>
        <v>1</v>
      </c>
      <c r="S257" s="23" t="str">
        <f t="shared" ca="1" si="38"/>
        <v>78/FT, Tulip Road, Jhunjhunu, 333001</v>
      </c>
      <c r="T257" s="23">
        <f t="shared" ca="1" si="39"/>
        <v>180</v>
      </c>
      <c r="U257" s="33" t="str">
        <f t="shared" ca="1" si="40"/>
        <v>10%</v>
      </c>
      <c r="V257" s="29">
        <f t="shared" ca="1" si="41"/>
        <v>180</v>
      </c>
      <c r="W257" s="29">
        <f t="shared" ca="1" si="42"/>
        <v>162</v>
      </c>
      <c r="X257" s="23" t="s">
        <v>714</v>
      </c>
      <c r="Y257" s="23"/>
      <c r="Z257" s="23"/>
      <c r="AA257" s="23"/>
      <c r="AB257" s="23"/>
      <c r="AC257" s="24"/>
    </row>
    <row r="258" spans="12:29" x14ac:dyDescent="0.35">
      <c r="L258" s="21">
        <v>255</v>
      </c>
      <c r="M258" s="22">
        <v>44927</v>
      </c>
      <c r="N258" s="23"/>
      <c r="O258" s="23">
        <f t="shared" ca="1" si="34"/>
        <v>92</v>
      </c>
      <c r="P258" s="23">
        <f t="shared" ca="1" si="35"/>
        <v>142</v>
      </c>
      <c r="Q258" s="23">
        <f t="shared" ca="1" si="36"/>
        <v>139</v>
      </c>
      <c r="R258" s="23">
        <f t="shared" ca="1" si="37"/>
        <v>2</v>
      </c>
      <c r="S258" s="23" t="str">
        <f t="shared" ca="1" si="38"/>
        <v>67/EL, Lily Lane, Durg, 491001</v>
      </c>
      <c r="T258" s="23">
        <f t="shared" ca="1" si="39"/>
        <v>110</v>
      </c>
      <c r="U258" s="33" t="str">
        <f t="shared" ca="1" si="40"/>
        <v>5%</v>
      </c>
      <c r="V258" s="29">
        <f t="shared" ca="1" si="41"/>
        <v>220</v>
      </c>
      <c r="W258" s="29">
        <f t="shared" ca="1" si="42"/>
        <v>209</v>
      </c>
      <c r="X258" s="23" t="s">
        <v>714</v>
      </c>
      <c r="Y258" s="23"/>
      <c r="Z258" s="23"/>
      <c r="AA258" s="23"/>
      <c r="AB258" s="23"/>
      <c r="AC258" s="24"/>
    </row>
    <row r="259" spans="12:29" x14ac:dyDescent="0.35">
      <c r="L259" s="21">
        <v>256</v>
      </c>
      <c r="M259" s="22">
        <v>44927</v>
      </c>
      <c r="N259" s="23"/>
      <c r="O259" s="23">
        <f t="shared" ca="1" si="34"/>
        <v>30</v>
      </c>
      <c r="P259" s="23">
        <f t="shared" ca="1" si="35"/>
        <v>107</v>
      </c>
      <c r="Q259" s="23">
        <f t="shared" ca="1" si="36"/>
        <v>140</v>
      </c>
      <c r="R259" s="23">
        <f t="shared" ca="1" si="37"/>
        <v>1</v>
      </c>
      <c r="S259" s="23" t="str">
        <f t="shared" ca="1" si="38"/>
        <v>45/DC, Camellia Street, Vijayawada, 520001</v>
      </c>
      <c r="T259" s="23">
        <f t="shared" ca="1" si="39"/>
        <v>250</v>
      </c>
      <c r="U259" s="33" t="str">
        <f t="shared" ca="1" si="40"/>
        <v>20%</v>
      </c>
      <c r="V259" s="29">
        <f t="shared" ca="1" si="41"/>
        <v>250</v>
      </c>
      <c r="W259" s="29">
        <f t="shared" ca="1" si="42"/>
        <v>200</v>
      </c>
      <c r="X259" s="23" t="s">
        <v>714</v>
      </c>
      <c r="Y259" s="23"/>
      <c r="Z259" s="23"/>
      <c r="AA259" s="23"/>
      <c r="AB259" s="23"/>
      <c r="AC259" s="24"/>
    </row>
    <row r="260" spans="12:29" x14ac:dyDescent="0.35">
      <c r="L260" s="21">
        <v>257</v>
      </c>
      <c r="M260" s="22">
        <v>44927</v>
      </c>
      <c r="N260" s="23"/>
      <c r="O260" s="23">
        <f t="shared" ca="1" si="34"/>
        <v>79</v>
      </c>
      <c r="P260" s="23">
        <f t="shared" ca="1" si="35"/>
        <v>159</v>
      </c>
      <c r="Q260" s="23">
        <f t="shared" ca="1" si="36"/>
        <v>100</v>
      </c>
      <c r="R260" s="23">
        <f t="shared" ca="1" si="37"/>
        <v>3</v>
      </c>
      <c r="S260" s="23" t="str">
        <f t="shared" ca="1" si="38"/>
        <v>34/FC, Camellia Road, Hapur, 245101</v>
      </c>
      <c r="T260" s="23">
        <f t="shared" ca="1" si="39"/>
        <v>90</v>
      </c>
      <c r="U260" s="33" t="str">
        <f t="shared" ca="1" si="40"/>
        <v>0</v>
      </c>
      <c r="V260" s="29">
        <f t="shared" ca="1" si="41"/>
        <v>270</v>
      </c>
      <c r="W260" s="29">
        <f t="shared" ca="1" si="42"/>
        <v>270</v>
      </c>
      <c r="X260" s="23" t="s">
        <v>714</v>
      </c>
      <c r="Y260" s="23"/>
      <c r="Z260" s="23"/>
      <c r="AA260" s="23"/>
      <c r="AB260" s="23"/>
      <c r="AC260" s="24"/>
    </row>
    <row r="261" spans="12:29" x14ac:dyDescent="0.35">
      <c r="L261" s="21">
        <v>258</v>
      </c>
      <c r="M261" s="22">
        <v>44927</v>
      </c>
      <c r="N261" s="23"/>
      <c r="O261" s="23">
        <f t="shared" ref="O261:O303" ca="1" si="43">RANDBETWEEN(1,100)</f>
        <v>7</v>
      </c>
      <c r="P261" s="23">
        <f t="shared" ref="P261:P303" ca="1" si="44">RANDBETWEEN(1,187)</f>
        <v>7</v>
      </c>
      <c r="Q261" s="23">
        <f t="shared" ref="Q261:Q303" ca="1" si="45">RANDBETWEEN(100,170)</f>
        <v>136</v>
      </c>
      <c r="R261" s="23">
        <f t="shared" ref="R261:R303" ca="1" si="46">RANDBETWEEN(1,10)</f>
        <v>4</v>
      </c>
      <c r="S261" s="23" t="str">
        <f t="shared" ref="S261:S303" ca="1" si="47">VLOOKUP($P261,$G$3:$J$190,4,0)</f>
        <v>34/G, Orchid Avenue, Pune, 411001</v>
      </c>
      <c r="T261" s="23">
        <f t="shared" ref="T261:T303" ca="1" si="48">VLOOKUP($O261,$B$3:$E$106,3,0)</f>
        <v>170</v>
      </c>
      <c r="U261" s="33" t="str">
        <f t="shared" ref="U261:U303" ca="1" si="49">VLOOKUP($O261,$B$3:$E$106,4,0)</f>
        <v>10%</v>
      </c>
      <c r="V261" s="29">
        <f t="shared" ref="V261:V303" ca="1" si="50">$R261*$T261</f>
        <v>680</v>
      </c>
      <c r="W261" s="29">
        <f t="shared" ref="W261:W303" ca="1" si="51">V261-(V261*U261)</f>
        <v>612</v>
      </c>
      <c r="X261" s="23" t="s">
        <v>714</v>
      </c>
      <c r="Y261" s="23"/>
      <c r="Z261" s="23"/>
      <c r="AA261" s="23"/>
      <c r="AB261" s="23"/>
      <c r="AC261" s="24"/>
    </row>
    <row r="262" spans="12:29" x14ac:dyDescent="0.35">
      <c r="L262" s="21">
        <v>259</v>
      </c>
      <c r="M262" s="22">
        <v>44927</v>
      </c>
      <c r="N262" s="23"/>
      <c r="O262" s="23">
        <f t="shared" ca="1" si="43"/>
        <v>15</v>
      </c>
      <c r="P262" s="23">
        <f t="shared" ca="1" si="44"/>
        <v>14</v>
      </c>
      <c r="Q262" s="23">
        <f t="shared" ca="1" si="45"/>
        <v>132</v>
      </c>
      <c r="R262" s="23">
        <f t="shared" ca="1" si="46"/>
        <v>7</v>
      </c>
      <c r="S262" s="23" t="str">
        <f t="shared" ca="1" si="47"/>
        <v>67/N, Narcissus Street, Patna, 800001</v>
      </c>
      <c r="T262" s="23">
        <f t="shared" ca="1" si="48"/>
        <v>150</v>
      </c>
      <c r="U262" s="33" t="str">
        <f t="shared" ca="1" si="49"/>
        <v>10%</v>
      </c>
      <c r="V262" s="29">
        <f t="shared" ca="1" si="50"/>
        <v>1050</v>
      </c>
      <c r="W262" s="29">
        <f t="shared" ca="1" si="51"/>
        <v>945</v>
      </c>
      <c r="X262" s="23" t="s">
        <v>714</v>
      </c>
      <c r="Y262" s="23"/>
      <c r="Z262" s="23"/>
      <c r="AA262" s="23"/>
      <c r="AB262" s="23"/>
      <c r="AC262" s="24"/>
    </row>
    <row r="263" spans="12:29" x14ac:dyDescent="0.35">
      <c r="L263" s="21">
        <v>260</v>
      </c>
      <c r="M263" s="22">
        <v>44927</v>
      </c>
      <c r="N263" s="23"/>
      <c r="O263" s="23">
        <f t="shared" ca="1" si="43"/>
        <v>59</v>
      </c>
      <c r="P263" s="23">
        <f t="shared" ca="1" si="44"/>
        <v>100</v>
      </c>
      <c r="Q263" s="23">
        <f t="shared" ca="1" si="45"/>
        <v>142</v>
      </c>
      <c r="R263" s="23">
        <f t="shared" ca="1" si="46"/>
        <v>3</v>
      </c>
      <c r="S263" s="23" t="str">
        <f t="shared" ca="1" si="47"/>
        <v>56/CV, Verbena Street, Tumkur, 572101</v>
      </c>
      <c r="T263" s="23">
        <f t="shared" ca="1" si="48"/>
        <v>150</v>
      </c>
      <c r="U263" s="33" t="str">
        <f t="shared" ca="1" si="49"/>
        <v>10%</v>
      </c>
      <c r="V263" s="29">
        <f t="shared" ca="1" si="50"/>
        <v>450</v>
      </c>
      <c r="W263" s="29">
        <f t="shared" ca="1" si="51"/>
        <v>405</v>
      </c>
      <c r="X263" s="23" t="s">
        <v>714</v>
      </c>
      <c r="Y263" s="23"/>
      <c r="Z263" s="23"/>
      <c r="AA263" s="23"/>
      <c r="AB263" s="23"/>
      <c r="AC263" s="24"/>
    </row>
    <row r="264" spans="12:29" x14ac:dyDescent="0.35">
      <c r="L264" s="21">
        <v>261</v>
      </c>
      <c r="M264" s="22">
        <v>44927</v>
      </c>
      <c r="N264" s="23"/>
      <c r="O264" s="23">
        <f t="shared" ca="1" si="43"/>
        <v>64</v>
      </c>
      <c r="P264" s="23">
        <f t="shared" ca="1" si="44"/>
        <v>25</v>
      </c>
      <c r="Q264" s="23">
        <f t="shared" ca="1" si="45"/>
        <v>150</v>
      </c>
      <c r="R264" s="23">
        <f t="shared" ca="1" si="46"/>
        <v>6</v>
      </c>
      <c r="S264" s="23" t="str">
        <f t="shared" ca="1" si="47"/>
        <v>89/Y, Yew Lane, Coimbatore, 641001</v>
      </c>
      <c r="T264" s="23">
        <f t="shared" ca="1" si="48"/>
        <v>120</v>
      </c>
      <c r="U264" s="33" t="str">
        <f t="shared" ca="1" si="49"/>
        <v>5%</v>
      </c>
      <c r="V264" s="29">
        <f t="shared" ca="1" si="50"/>
        <v>720</v>
      </c>
      <c r="W264" s="29">
        <f t="shared" ca="1" si="51"/>
        <v>684</v>
      </c>
      <c r="X264" s="23" t="s">
        <v>714</v>
      </c>
      <c r="Y264" s="23"/>
      <c r="Z264" s="23"/>
      <c r="AA264" s="23"/>
      <c r="AB264" s="23"/>
      <c r="AC264" s="24"/>
    </row>
    <row r="265" spans="12:29" x14ac:dyDescent="0.35">
      <c r="L265" s="21">
        <v>262</v>
      </c>
      <c r="M265" s="22">
        <v>44927</v>
      </c>
      <c r="N265" s="23"/>
      <c r="O265" s="23">
        <f t="shared" ca="1" si="43"/>
        <v>30</v>
      </c>
      <c r="P265" s="23">
        <f t="shared" ca="1" si="44"/>
        <v>161</v>
      </c>
      <c r="Q265" s="23">
        <f t="shared" ca="1" si="45"/>
        <v>152</v>
      </c>
      <c r="R265" s="23">
        <f t="shared" ca="1" si="46"/>
        <v>3</v>
      </c>
      <c r="S265" s="23" t="str">
        <f t="shared" ca="1" si="47"/>
        <v>89/FE, Ebony Avenue, Hinganghat, 442301</v>
      </c>
      <c r="T265" s="23">
        <f t="shared" ca="1" si="48"/>
        <v>250</v>
      </c>
      <c r="U265" s="33" t="str">
        <f t="shared" ca="1" si="49"/>
        <v>20%</v>
      </c>
      <c r="V265" s="29">
        <f t="shared" ca="1" si="50"/>
        <v>750</v>
      </c>
      <c r="W265" s="29">
        <f t="shared" ca="1" si="51"/>
        <v>600</v>
      </c>
      <c r="X265" s="23" t="s">
        <v>714</v>
      </c>
      <c r="Y265" s="23"/>
      <c r="Z265" s="23"/>
      <c r="AA265" s="23"/>
      <c r="AB265" s="23"/>
      <c r="AC265" s="24"/>
    </row>
    <row r="266" spans="12:29" x14ac:dyDescent="0.35">
      <c r="L266" s="21">
        <v>263</v>
      </c>
      <c r="M266" s="22">
        <v>44927</v>
      </c>
      <c r="N266" s="23"/>
      <c r="O266" s="23">
        <f t="shared" ca="1" si="43"/>
        <v>97</v>
      </c>
      <c r="P266" s="23">
        <f t="shared" ca="1" si="44"/>
        <v>33</v>
      </c>
      <c r="Q266" s="23">
        <f t="shared" ca="1" si="45"/>
        <v>150</v>
      </c>
      <c r="R266" s="23">
        <f t="shared" ca="1" si="46"/>
        <v>3</v>
      </c>
      <c r="S266" s="23" t="str">
        <f t="shared" ca="1" si="47"/>
        <v>89/AG, Gardenia Avenue, Shimla, 171001</v>
      </c>
      <c r="T266" s="23">
        <f t="shared" ca="1" si="48"/>
        <v>80</v>
      </c>
      <c r="U266" s="33" t="str">
        <f t="shared" ca="1" si="49"/>
        <v>0</v>
      </c>
      <c r="V266" s="29">
        <f t="shared" ca="1" si="50"/>
        <v>240</v>
      </c>
      <c r="W266" s="29">
        <f t="shared" ca="1" si="51"/>
        <v>240</v>
      </c>
      <c r="X266" s="23" t="s">
        <v>714</v>
      </c>
      <c r="Y266" s="23"/>
      <c r="Z266" s="23"/>
      <c r="AA266" s="23"/>
      <c r="AB266" s="23"/>
      <c r="AC266" s="24"/>
    </row>
    <row r="267" spans="12:29" x14ac:dyDescent="0.35">
      <c r="L267" s="21">
        <v>264</v>
      </c>
      <c r="M267" s="22">
        <v>44927</v>
      </c>
      <c r="N267" s="23"/>
      <c r="O267" s="23">
        <f t="shared" ca="1" si="43"/>
        <v>21</v>
      </c>
      <c r="P267" s="23">
        <f t="shared" ca="1" si="44"/>
        <v>169</v>
      </c>
      <c r="Q267" s="23">
        <f t="shared" ca="1" si="45"/>
        <v>114</v>
      </c>
      <c r="R267" s="23">
        <f t="shared" ca="1" si="46"/>
        <v>7</v>
      </c>
      <c r="S267" s="23" t="str">
        <f t="shared" ca="1" si="47"/>
        <v>89/FM, Magnolia Avenue, Jalgaon, 425001</v>
      </c>
      <c r="T267" s="23">
        <f t="shared" ca="1" si="48"/>
        <v>220</v>
      </c>
      <c r="U267" s="33" t="str">
        <f t="shared" ca="1" si="49"/>
        <v>20%</v>
      </c>
      <c r="V267" s="29">
        <f t="shared" ca="1" si="50"/>
        <v>1540</v>
      </c>
      <c r="W267" s="29">
        <f t="shared" ca="1" si="51"/>
        <v>1232</v>
      </c>
      <c r="X267" s="23" t="s">
        <v>714</v>
      </c>
      <c r="Y267" s="23"/>
      <c r="Z267" s="23"/>
      <c r="AA267" s="23"/>
      <c r="AB267" s="23"/>
      <c r="AC267" s="24"/>
    </row>
    <row r="268" spans="12:29" x14ac:dyDescent="0.35">
      <c r="L268" s="21">
        <v>265</v>
      </c>
      <c r="M268" s="22">
        <v>44927</v>
      </c>
      <c r="N268" s="23"/>
      <c r="O268" s="23">
        <f t="shared" ca="1" si="43"/>
        <v>35</v>
      </c>
      <c r="P268" s="23">
        <f t="shared" ca="1" si="44"/>
        <v>70</v>
      </c>
      <c r="Q268" s="23">
        <f t="shared" ca="1" si="45"/>
        <v>107</v>
      </c>
      <c r="R268" s="23">
        <f t="shared" ca="1" si="46"/>
        <v>2</v>
      </c>
      <c r="S268" s="23" t="str">
        <f t="shared" ca="1" si="47"/>
        <v>67/BR, Rose Lane, Nainital, 263001</v>
      </c>
      <c r="T268" s="23">
        <f t="shared" ca="1" si="48"/>
        <v>240</v>
      </c>
      <c r="U268" s="33" t="str">
        <f t="shared" ca="1" si="49"/>
        <v>20%</v>
      </c>
      <c r="V268" s="29">
        <f t="shared" ca="1" si="50"/>
        <v>480</v>
      </c>
      <c r="W268" s="29">
        <f t="shared" ca="1" si="51"/>
        <v>384</v>
      </c>
      <c r="X268" s="23" t="s">
        <v>714</v>
      </c>
      <c r="Y268" s="23"/>
      <c r="Z268" s="23"/>
      <c r="AA268" s="23"/>
      <c r="AB268" s="23"/>
      <c r="AC268" s="24"/>
    </row>
    <row r="269" spans="12:29" x14ac:dyDescent="0.35">
      <c r="L269" s="21">
        <v>266</v>
      </c>
      <c r="M269" s="22">
        <v>44927</v>
      </c>
      <c r="N269" s="23"/>
      <c r="O269" s="23">
        <f t="shared" ca="1" si="43"/>
        <v>51</v>
      </c>
      <c r="P269" s="23">
        <f t="shared" ca="1" si="44"/>
        <v>20</v>
      </c>
      <c r="Q269" s="23">
        <f t="shared" ca="1" si="45"/>
        <v>120</v>
      </c>
      <c r="R269" s="23">
        <f t="shared" ca="1" si="46"/>
        <v>1</v>
      </c>
      <c r="S269" s="23" t="str">
        <f t="shared" ca="1" si="47"/>
        <v>56/T, Tamarind Avenue, Agra, 282001</v>
      </c>
      <c r="T269" s="23">
        <f t="shared" ca="1" si="48"/>
        <v>190</v>
      </c>
      <c r="U269" s="33" t="str">
        <f t="shared" ca="1" si="49"/>
        <v>10%</v>
      </c>
      <c r="V269" s="29">
        <f t="shared" ca="1" si="50"/>
        <v>190</v>
      </c>
      <c r="W269" s="29">
        <f t="shared" ca="1" si="51"/>
        <v>171</v>
      </c>
      <c r="X269" s="23" t="s">
        <v>714</v>
      </c>
      <c r="Y269" s="23"/>
      <c r="Z269" s="23"/>
      <c r="AA269" s="23"/>
      <c r="AB269" s="23"/>
      <c r="AC269" s="24"/>
    </row>
    <row r="270" spans="12:29" x14ac:dyDescent="0.35">
      <c r="L270" s="21">
        <v>267</v>
      </c>
      <c r="M270" s="22">
        <v>44927</v>
      </c>
      <c r="N270" s="23"/>
      <c r="O270" s="23">
        <f t="shared" ca="1" si="43"/>
        <v>85</v>
      </c>
      <c r="P270" s="23">
        <f t="shared" ca="1" si="44"/>
        <v>83</v>
      </c>
      <c r="Q270" s="23">
        <f t="shared" ca="1" si="45"/>
        <v>133</v>
      </c>
      <c r="R270" s="23">
        <f t="shared" ca="1" si="46"/>
        <v>2</v>
      </c>
      <c r="S270" s="23" t="str">
        <f t="shared" ca="1" si="47"/>
        <v>45/CE, Ebony Avenue, Rourkela, 769014</v>
      </c>
      <c r="T270" s="23">
        <f t="shared" ca="1" si="48"/>
        <v>40</v>
      </c>
      <c r="U270" s="33" t="str">
        <f t="shared" ca="1" si="49"/>
        <v>0</v>
      </c>
      <c r="V270" s="29">
        <f t="shared" ca="1" si="50"/>
        <v>80</v>
      </c>
      <c r="W270" s="29">
        <f t="shared" ca="1" si="51"/>
        <v>80</v>
      </c>
      <c r="X270" s="23" t="s">
        <v>714</v>
      </c>
      <c r="Y270" s="23"/>
      <c r="Z270" s="23"/>
      <c r="AA270" s="23"/>
      <c r="AB270" s="23"/>
      <c r="AC270" s="24"/>
    </row>
    <row r="271" spans="12:29" x14ac:dyDescent="0.35">
      <c r="L271" s="21">
        <v>268</v>
      </c>
      <c r="M271" s="22">
        <v>44927</v>
      </c>
      <c r="N271" s="23"/>
      <c r="O271" s="23">
        <f t="shared" ca="1" si="43"/>
        <v>72</v>
      </c>
      <c r="P271" s="23">
        <f t="shared" ca="1" si="44"/>
        <v>29</v>
      </c>
      <c r="Q271" s="23">
        <f t="shared" ca="1" si="45"/>
        <v>125</v>
      </c>
      <c r="R271" s="23">
        <f t="shared" ca="1" si="46"/>
        <v>7</v>
      </c>
      <c r="S271" s="23" t="str">
        <f t="shared" ca="1" si="47"/>
        <v>23/AC, Camellia Road, Jodhpur, 342001</v>
      </c>
      <c r="T271" s="23">
        <f t="shared" ca="1" si="48"/>
        <v>80</v>
      </c>
      <c r="U271" s="33" t="str">
        <f t="shared" ca="1" si="49"/>
        <v>0</v>
      </c>
      <c r="V271" s="29">
        <f t="shared" ca="1" si="50"/>
        <v>560</v>
      </c>
      <c r="W271" s="29">
        <f t="shared" ca="1" si="51"/>
        <v>560</v>
      </c>
      <c r="X271" s="23" t="s">
        <v>714</v>
      </c>
      <c r="Y271" s="23"/>
      <c r="Z271" s="23"/>
      <c r="AA271" s="23"/>
      <c r="AB271" s="23"/>
      <c r="AC271" s="24"/>
    </row>
    <row r="272" spans="12:29" x14ac:dyDescent="0.35">
      <c r="L272" s="21">
        <v>269</v>
      </c>
      <c r="M272" s="22">
        <v>44927</v>
      </c>
      <c r="N272" s="23"/>
      <c r="O272" s="23">
        <f t="shared" ca="1" si="43"/>
        <v>10</v>
      </c>
      <c r="P272" s="23">
        <f t="shared" ca="1" si="44"/>
        <v>29</v>
      </c>
      <c r="Q272" s="23">
        <f t="shared" ca="1" si="45"/>
        <v>152</v>
      </c>
      <c r="R272" s="23">
        <f t="shared" ca="1" si="46"/>
        <v>6</v>
      </c>
      <c r="S272" s="23" t="str">
        <f t="shared" ca="1" si="47"/>
        <v>23/AC, Camellia Road, Jodhpur, 342001</v>
      </c>
      <c r="T272" s="23">
        <f t="shared" ca="1" si="48"/>
        <v>170</v>
      </c>
      <c r="U272" s="33" t="str">
        <f t="shared" ca="1" si="49"/>
        <v>10%</v>
      </c>
      <c r="V272" s="29">
        <f t="shared" ca="1" si="50"/>
        <v>1020</v>
      </c>
      <c r="W272" s="29">
        <f t="shared" ca="1" si="51"/>
        <v>918</v>
      </c>
      <c r="X272" s="23" t="s">
        <v>714</v>
      </c>
      <c r="Y272" s="23"/>
      <c r="Z272" s="23"/>
      <c r="AA272" s="23"/>
      <c r="AB272" s="23"/>
      <c r="AC272" s="24"/>
    </row>
    <row r="273" spans="12:29" x14ac:dyDescent="0.35">
      <c r="L273" s="21">
        <v>270</v>
      </c>
      <c r="M273" s="22">
        <v>44927</v>
      </c>
      <c r="N273" s="23"/>
      <c r="O273" s="23">
        <f t="shared" ca="1" si="43"/>
        <v>3</v>
      </c>
      <c r="P273" s="23">
        <f t="shared" ca="1" si="44"/>
        <v>46</v>
      </c>
      <c r="Q273" s="23">
        <f t="shared" ca="1" si="45"/>
        <v>143</v>
      </c>
      <c r="R273" s="23">
        <f t="shared" ca="1" si="46"/>
        <v>3</v>
      </c>
      <c r="S273" s="23" t="str">
        <f t="shared" ca="1" si="47"/>
        <v>67/AT, Tulip Street, Vellore, 632001</v>
      </c>
      <c r="T273" s="23">
        <f t="shared" ca="1" si="48"/>
        <v>170</v>
      </c>
      <c r="U273" s="33" t="str">
        <f t="shared" ca="1" si="49"/>
        <v>10%</v>
      </c>
      <c r="V273" s="29">
        <f t="shared" ca="1" si="50"/>
        <v>510</v>
      </c>
      <c r="W273" s="29">
        <f t="shared" ca="1" si="51"/>
        <v>459</v>
      </c>
      <c r="X273" s="23" t="s">
        <v>714</v>
      </c>
      <c r="Y273" s="23"/>
      <c r="Z273" s="23"/>
      <c r="AA273" s="23"/>
      <c r="AB273" s="23"/>
      <c r="AC273" s="24"/>
    </row>
    <row r="274" spans="12:29" x14ac:dyDescent="0.35">
      <c r="L274" s="21">
        <v>271</v>
      </c>
      <c r="M274" s="22">
        <v>44927</v>
      </c>
      <c r="N274" s="23"/>
      <c r="O274" s="23">
        <f t="shared" ca="1" si="43"/>
        <v>54</v>
      </c>
      <c r="P274" s="23">
        <f t="shared" ca="1" si="44"/>
        <v>174</v>
      </c>
      <c r="Q274" s="23">
        <f t="shared" ca="1" si="45"/>
        <v>107</v>
      </c>
      <c r="R274" s="23">
        <f t="shared" ca="1" si="46"/>
        <v>10</v>
      </c>
      <c r="S274" s="23" t="str">
        <f t="shared" ca="1" si="47"/>
        <v>67/FR, Rosewood Lane, Jamshedpur, 831001</v>
      </c>
      <c r="T274" s="23">
        <f t="shared" ca="1" si="48"/>
        <v>200</v>
      </c>
      <c r="U274" s="33" t="str">
        <f t="shared" ca="1" si="49"/>
        <v>20%</v>
      </c>
      <c r="V274" s="29">
        <f t="shared" ca="1" si="50"/>
        <v>2000</v>
      </c>
      <c r="W274" s="29">
        <f t="shared" ca="1" si="51"/>
        <v>1600</v>
      </c>
      <c r="X274" s="23" t="s">
        <v>714</v>
      </c>
      <c r="Y274" s="23"/>
      <c r="Z274" s="23"/>
      <c r="AA274" s="23"/>
      <c r="AB274" s="23"/>
      <c r="AC274" s="24"/>
    </row>
    <row r="275" spans="12:29" x14ac:dyDescent="0.35">
      <c r="L275" s="21">
        <v>272</v>
      </c>
      <c r="M275" s="22">
        <v>44927</v>
      </c>
      <c r="N275" s="23"/>
      <c r="O275" s="23">
        <f t="shared" ca="1" si="43"/>
        <v>25</v>
      </c>
      <c r="P275" s="23">
        <f t="shared" ca="1" si="44"/>
        <v>50</v>
      </c>
      <c r="Q275" s="23">
        <f t="shared" ca="1" si="45"/>
        <v>118</v>
      </c>
      <c r="R275" s="23">
        <f t="shared" ca="1" si="46"/>
        <v>7</v>
      </c>
      <c r="S275" s="23" t="str">
        <f t="shared" ca="1" si="47"/>
        <v>78/AX, Xylophone Street, Bhavnagar, 364001</v>
      </c>
      <c r="T275" s="23">
        <f t="shared" ca="1" si="48"/>
        <v>240</v>
      </c>
      <c r="U275" s="33" t="str">
        <f t="shared" ca="1" si="49"/>
        <v>20%</v>
      </c>
      <c r="V275" s="29">
        <f t="shared" ca="1" si="50"/>
        <v>1680</v>
      </c>
      <c r="W275" s="29">
        <f t="shared" ca="1" si="51"/>
        <v>1344</v>
      </c>
      <c r="X275" s="23" t="s">
        <v>714</v>
      </c>
      <c r="Y275" s="23"/>
      <c r="Z275" s="23"/>
      <c r="AA275" s="23"/>
      <c r="AB275" s="23"/>
      <c r="AC275" s="24"/>
    </row>
    <row r="276" spans="12:29" x14ac:dyDescent="0.35">
      <c r="L276" s="21">
        <v>273</v>
      </c>
      <c r="M276" s="22">
        <v>44927</v>
      </c>
      <c r="N276" s="23"/>
      <c r="O276" s="23">
        <f t="shared" ca="1" si="43"/>
        <v>96</v>
      </c>
      <c r="P276" s="23">
        <f t="shared" ca="1" si="44"/>
        <v>81</v>
      </c>
      <c r="Q276" s="23">
        <f t="shared" ca="1" si="45"/>
        <v>135</v>
      </c>
      <c r="R276" s="23">
        <f t="shared" ca="1" si="46"/>
        <v>3</v>
      </c>
      <c r="S276" s="23" t="str">
        <f t="shared" ca="1" si="47"/>
        <v>89/CC, Camellia Lane, Rohtak, 124001</v>
      </c>
      <c r="T276" s="23">
        <f t="shared" ca="1" si="48"/>
        <v>80</v>
      </c>
      <c r="U276" s="33" t="str">
        <f t="shared" ca="1" si="49"/>
        <v>0</v>
      </c>
      <c r="V276" s="29">
        <f t="shared" ca="1" si="50"/>
        <v>240</v>
      </c>
      <c r="W276" s="29">
        <f t="shared" ca="1" si="51"/>
        <v>240</v>
      </c>
      <c r="X276" s="23" t="s">
        <v>714</v>
      </c>
      <c r="Y276" s="23"/>
      <c r="Z276" s="23"/>
      <c r="AA276" s="23"/>
      <c r="AB276" s="23"/>
      <c r="AC276" s="24"/>
    </row>
    <row r="277" spans="12:29" x14ac:dyDescent="0.35">
      <c r="L277" s="21">
        <v>274</v>
      </c>
      <c r="M277" s="22">
        <v>44927</v>
      </c>
      <c r="N277" s="23"/>
      <c r="O277" s="23">
        <f t="shared" ca="1" si="43"/>
        <v>83</v>
      </c>
      <c r="P277" s="23">
        <f t="shared" ca="1" si="44"/>
        <v>140</v>
      </c>
      <c r="Q277" s="23">
        <f t="shared" ca="1" si="45"/>
        <v>148</v>
      </c>
      <c r="R277" s="23">
        <f t="shared" ca="1" si="46"/>
        <v>7</v>
      </c>
      <c r="S277" s="23" t="str">
        <f t="shared" ca="1" si="47"/>
        <v>56/EJ, Jasmine Road, Dibrugarh, 786001</v>
      </c>
      <c r="T277" s="23">
        <f t="shared" ca="1" si="48"/>
        <v>40</v>
      </c>
      <c r="U277" s="33" t="str">
        <f t="shared" ca="1" si="49"/>
        <v>0</v>
      </c>
      <c r="V277" s="29">
        <f t="shared" ca="1" si="50"/>
        <v>280</v>
      </c>
      <c r="W277" s="29">
        <f t="shared" ca="1" si="51"/>
        <v>280</v>
      </c>
      <c r="X277" s="23" t="s">
        <v>713</v>
      </c>
      <c r="Y277" s="23"/>
      <c r="Z277" s="23"/>
      <c r="AA277" s="23"/>
      <c r="AB277" s="23"/>
      <c r="AC277" s="24"/>
    </row>
    <row r="278" spans="12:29" x14ac:dyDescent="0.35">
      <c r="L278" s="21">
        <v>275</v>
      </c>
      <c r="M278" s="22">
        <v>44927</v>
      </c>
      <c r="N278" s="23"/>
      <c r="O278" s="23">
        <f t="shared" ca="1" si="43"/>
        <v>65</v>
      </c>
      <c r="P278" s="23">
        <f t="shared" ca="1" si="44"/>
        <v>111</v>
      </c>
      <c r="Q278" s="23">
        <f t="shared" ca="1" si="45"/>
        <v>150</v>
      </c>
      <c r="R278" s="23">
        <f t="shared" ca="1" si="46"/>
        <v>3</v>
      </c>
      <c r="S278" s="23" t="str">
        <f t="shared" ca="1" si="47"/>
        <v>34/DG, Gardenia Street, Ajmer, 305001</v>
      </c>
      <c r="T278" s="23">
        <f t="shared" ca="1" si="48"/>
        <v>100</v>
      </c>
      <c r="U278" s="33" t="str">
        <f t="shared" ca="1" si="49"/>
        <v>5%</v>
      </c>
      <c r="V278" s="29">
        <f t="shared" ca="1" si="50"/>
        <v>300</v>
      </c>
      <c r="W278" s="29">
        <f t="shared" ca="1" si="51"/>
        <v>285</v>
      </c>
      <c r="X278" s="23" t="s">
        <v>713</v>
      </c>
      <c r="Y278" s="23"/>
      <c r="Z278" s="23"/>
      <c r="AA278" s="23"/>
      <c r="AB278" s="23"/>
      <c r="AC278" s="24"/>
    </row>
    <row r="279" spans="12:29" x14ac:dyDescent="0.35">
      <c r="L279" s="21">
        <v>276</v>
      </c>
      <c r="M279" s="22">
        <v>44927</v>
      </c>
      <c r="N279" s="23"/>
      <c r="O279" s="23">
        <f t="shared" ca="1" si="43"/>
        <v>92</v>
      </c>
      <c r="P279" s="23">
        <f t="shared" ca="1" si="44"/>
        <v>74</v>
      </c>
      <c r="Q279" s="23">
        <f t="shared" ca="1" si="45"/>
        <v>115</v>
      </c>
      <c r="R279" s="23">
        <f t="shared" ca="1" si="46"/>
        <v>10</v>
      </c>
      <c r="S279" s="23" t="str">
        <f t="shared" ca="1" si="47"/>
        <v>78/BV, Verbena Road, Pallavaram, 600043</v>
      </c>
      <c r="T279" s="23">
        <f t="shared" ca="1" si="48"/>
        <v>110</v>
      </c>
      <c r="U279" s="33" t="str">
        <f t="shared" ca="1" si="49"/>
        <v>5%</v>
      </c>
      <c r="V279" s="29">
        <f t="shared" ca="1" si="50"/>
        <v>1100</v>
      </c>
      <c r="W279" s="29">
        <f t="shared" ca="1" si="51"/>
        <v>1045</v>
      </c>
      <c r="X279" s="23" t="s">
        <v>713</v>
      </c>
      <c r="Y279" s="23"/>
      <c r="Z279" s="23"/>
      <c r="AA279" s="23"/>
      <c r="AB279" s="23"/>
      <c r="AC279" s="24"/>
    </row>
    <row r="280" spans="12:29" x14ac:dyDescent="0.35">
      <c r="L280" s="21">
        <v>277</v>
      </c>
      <c r="M280" s="22">
        <v>44927</v>
      </c>
      <c r="N280" s="23"/>
      <c r="O280" s="23">
        <f t="shared" ca="1" si="43"/>
        <v>88</v>
      </c>
      <c r="P280" s="23">
        <f t="shared" ca="1" si="44"/>
        <v>45</v>
      </c>
      <c r="Q280" s="23">
        <f t="shared" ca="1" si="45"/>
        <v>109</v>
      </c>
      <c r="R280" s="23">
        <f t="shared" ca="1" si="46"/>
        <v>3</v>
      </c>
      <c r="S280" s="23" t="str">
        <f t="shared" ca="1" si="47"/>
        <v>23/AS, Sunflower Road, Udaipur, 313001</v>
      </c>
      <c r="T280" s="23">
        <f t="shared" ca="1" si="48"/>
        <v>60</v>
      </c>
      <c r="U280" s="33" t="str">
        <f t="shared" ca="1" si="49"/>
        <v>0</v>
      </c>
      <c r="V280" s="29">
        <f t="shared" ca="1" si="50"/>
        <v>180</v>
      </c>
      <c r="W280" s="29">
        <f t="shared" ca="1" si="51"/>
        <v>180</v>
      </c>
      <c r="X280" s="23" t="s">
        <v>713</v>
      </c>
      <c r="Y280" s="23"/>
      <c r="Z280" s="23"/>
      <c r="AA280" s="23"/>
      <c r="AB280" s="23"/>
      <c r="AC280" s="24"/>
    </row>
    <row r="281" spans="12:29" x14ac:dyDescent="0.35">
      <c r="L281" s="21">
        <v>278</v>
      </c>
      <c r="M281" s="22">
        <v>44927</v>
      </c>
      <c r="N281" s="23"/>
      <c r="O281" s="23">
        <f t="shared" ca="1" si="43"/>
        <v>91</v>
      </c>
      <c r="P281" s="23">
        <f t="shared" ca="1" si="44"/>
        <v>70</v>
      </c>
      <c r="Q281" s="23">
        <f t="shared" ca="1" si="45"/>
        <v>120</v>
      </c>
      <c r="R281" s="23">
        <f t="shared" ca="1" si="46"/>
        <v>1</v>
      </c>
      <c r="S281" s="23" t="str">
        <f t="shared" ca="1" si="47"/>
        <v>67/BR, Rose Lane, Nainital, 263001</v>
      </c>
      <c r="T281" s="23">
        <f t="shared" ca="1" si="48"/>
        <v>100</v>
      </c>
      <c r="U281" s="33" t="str">
        <f t="shared" ca="1" si="49"/>
        <v>5%</v>
      </c>
      <c r="V281" s="29">
        <f t="shared" ca="1" si="50"/>
        <v>100</v>
      </c>
      <c r="W281" s="29">
        <f t="shared" ca="1" si="51"/>
        <v>95</v>
      </c>
      <c r="X281" s="23" t="s">
        <v>713</v>
      </c>
      <c r="Y281" s="23"/>
      <c r="Z281" s="23"/>
      <c r="AA281" s="23"/>
      <c r="AB281" s="23"/>
      <c r="AC281" s="24"/>
    </row>
    <row r="282" spans="12:29" x14ac:dyDescent="0.35">
      <c r="L282" s="21">
        <v>279</v>
      </c>
      <c r="M282" s="22">
        <v>44927</v>
      </c>
      <c r="N282" s="23"/>
      <c r="O282" s="23">
        <f t="shared" ca="1" si="43"/>
        <v>54</v>
      </c>
      <c r="P282" s="23">
        <f t="shared" ca="1" si="44"/>
        <v>173</v>
      </c>
      <c r="Q282" s="23">
        <f t="shared" ca="1" si="45"/>
        <v>148</v>
      </c>
      <c r="R282" s="23">
        <f t="shared" ca="1" si="46"/>
        <v>7</v>
      </c>
      <c r="S282" s="23" t="str">
        <f t="shared" ca="1" si="47"/>
        <v>23/FQ, Quince Road, Jamnagar, 361001</v>
      </c>
      <c r="T282" s="23">
        <f t="shared" ca="1" si="48"/>
        <v>200</v>
      </c>
      <c r="U282" s="33" t="str">
        <f t="shared" ca="1" si="49"/>
        <v>20%</v>
      </c>
      <c r="V282" s="29">
        <f t="shared" ca="1" si="50"/>
        <v>1400</v>
      </c>
      <c r="W282" s="29">
        <f t="shared" ca="1" si="51"/>
        <v>1120</v>
      </c>
      <c r="X282" s="23" t="s">
        <v>713</v>
      </c>
      <c r="Y282" s="23"/>
      <c r="Z282" s="23"/>
      <c r="AA282" s="23"/>
      <c r="AB282" s="23"/>
      <c r="AC282" s="24"/>
    </row>
    <row r="283" spans="12:29" x14ac:dyDescent="0.35">
      <c r="L283" s="21">
        <v>280</v>
      </c>
      <c r="M283" s="22">
        <v>44927</v>
      </c>
      <c r="N283" s="23"/>
      <c r="O283" s="23">
        <f t="shared" ca="1" si="43"/>
        <v>67</v>
      </c>
      <c r="P283" s="23">
        <f t="shared" ca="1" si="44"/>
        <v>180</v>
      </c>
      <c r="Q283" s="23">
        <f t="shared" ca="1" si="45"/>
        <v>144</v>
      </c>
      <c r="R283" s="23">
        <f t="shared" ca="1" si="46"/>
        <v>9</v>
      </c>
      <c r="S283" s="23" t="str">
        <f t="shared" ca="1" si="47"/>
        <v>56/FX, Xylophone Avenue, Kakinada, 533001</v>
      </c>
      <c r="T283" s="23">
        <f t="shared" ca="1" si="48"/>
        <v>100</v>
      </c>
      <c r="U283" s="33" t="str">
        <f t="shared" ca="1" si="49"/>
        <v>5%</v>
      </c>
      <c r="V283" s="29">
        <f t="shared" ca="1" si="50"/>
        <v>900</v>
      </c>
      <c r="W283" s="29">
        <f t="shared" ca="1" si="51"/>
        <v>855</v>
      </c>
      <c r="X283" s="23" t="s">
        <v>713</v>
      </c>
      <c r="Y283" s="23"/>
      <c r="Z283" s="23"/>
      <c r="AA283" s="23"/>
      <c r="AB283" s="23"/>
      <c r="AC283" s="24"/>
    </row>
    <row r="284" spans="12:29" x14ac:dyDescent="0.35">
      <c r="L284" s="21">
        <v>281</v>
      </c>
      <c r="M284" s="22">
        <v>44927</v>
      </c>
      <c r="N284" s="23"/>
      <c r="O284" s="23">
        <f t="shared" ca="1" si="43"/>
        <v>53</v>
      </c>
      <c r="P284" s="23">
        <f t="shared" ca="1" si="44"/>
        <v>2</v>
      </c>
      <c r="Q284" s="23">
        <f t="shared" ca="1" si="45"/>
        <v>123</v>
      </c>
      <c r="R284" s="23">
        <f t="shared" ca="1" si="46"/>
        <v>1</v>
      </c>
      <c r="S284" s="23" t="str">
        <f t="shared" ca="1" si="47"/>
        <v>45/B, Lotus Road, Mumbai, 400001</v>
      </c>
      <c r="T284" s="23">
        <f t="shared" ca="1" si="48"/>
        <v>180</v>
      </c>
      <c r="U284" s="33" t="str">
        <f t="shared" ca="1" si="49"/>
        <v>10%</v>
      </c>
      <c r="V284" s="29">
        <f t="shared" ca="1" si="50"/>
        <v>180</v>
      </c>
      <c r="W284" s="29">
        <f t="shared" ca="1" si="51"/>
        <v>162</v>
      </c>
      <c r="X284" s="23" t="s">
        <v>713</v>
      </c>
      <c r="Y284" s="23"/>
      <c r="Z284" s="23"/>
      <c r="AA284" s="23"/>
      <c r="AB284" s="23"/>
      <c r="AC284" s="24"/>
    </row>
    <row r="285" spans="12:29" x14ac:dyDescent="0.35">
      <c r="L285" s="21">
        <v>282</v>
      </c>
      <c r="M285" s="22">
        <v>44927</v>
      </c>
      <c r="N285" s="23"/>
      <c r="O285" s="23">
        <f t="shared" ca="1" si="43"/>
        <v>45</v>
      </c>
      <c r="P285" s="23">
        <f t="shared" ca="1" si="44"/>
        <v>128</v>
      </c>
      <c r="Q285" s="23">
        <f t="shared" ca="1" si="45"/>
        <v>166</v>
      </c>
      <c r="R285" s="23">
        <f t="shared" ca="1" si="46"/>
        <v>8</v>
      </c>
      <c r="S285" s="23" t="str">
        <f t="shared" ca="1" si="47"/>
        <v>78/DX, Xylophone Road, Bhuj, 370001</v>
      </c>
      <c r="T285" s="23">
        <f t="shared" ca="1" si="48"/>
        <v>50</v>
      </c>
      <c r="U285" s="33" t="str">
        <f t="shared" ca="1" si="49"/>
        <v>0</v>
      </c>
      <c r="V285" s="29">
        <f t="shared" ca="1" si="50"/>
        <v>400</v>
      </c>
      <c r="W285" s="29">
        <f t="shared" ca="1" si="51"/>
        <v>400</v>
      </c>
      <c r="X285" s="23" t="s">
        <v>713</v>
      </c>
      <c r="Y285" s="23"/>
      <c r="Z285" s="23"/>
      <c r="AA285" s="23"/>
      <c r="AB285" s="23"/>
      <c r="AC285" s="24"/>
    </row>
    <row r="286" spans="12:29" x14ac:dyDescent="0.35">
      <c r="L286" s="21">
        <v>283</v>
      </c>
      <c r="M286" s="22">
        <v>44927</v>
      </c>
      <c r="N286" s="23"/>
      <c r="O286" s="23">
        <f t="shared" ca="1" si="43"/>
        <v>34</v>
      </c>
      <c r="P286" s="23">
        <f t="shared" ca="1" si="44"/>
        <v>5</v>
      </c>
      <c r="Q286" s="23">
        <f t="shared" ca="1" si="45"/>
        <v>123</v>
      </c>
      <c r="R286" s="23">
        <f t="shared" ca="1" si="46"/>
        <v>4</v>
      </c>
      <c r="S286" s="23" t="str">
        <f t="shared" ca="1" si="47"/>
        <v>23/E, Jasmine Nagar, Hyderabad, 500001</v>
      </c>
      <c r="T286" s="23">
        <f t="shared" ca="1" si="48"/>
        <v>260</v>
      </c>
      <c r="U286" s="33" t="str">
        <f t="shared" ca="1" si="49"/>
        <v>20%</v>
      </c>
      <c r="V286" s="29">
        <f t="shared" ca="1" si="50"/>
        <v>1040</v>
      </c>
      <c r="W286" s="29">
        <f t="shared" ca="1" si="51"/>
        <v>832</v>
      </c>
      <c r="X286" s="23" t="s">
        <v>713</v>
      </c>
      <c r="Y286" s="23"/>
      <c r="Z286" s="23"/>
      <c r="AA286" s="23"/>
      <c r="AB286" s="23"/>
      <c r="AC286" s="24"/>
    </row>
    <row r="287" spans="12:29" x14ac:dyDescent="0.35">
      <c r="L287" s="21">
        <v>284</v>
      </c>
      <c r="M287" s="22">
        <v>44927</v>
      </c>
      <c r="N287" s="23"/>
      <c r="O287" s="23">
        <f t="shared" ca="1" si="43"/>
        <v>98</v>
      </c>
      <c r="P287" s="23">
        <f t="shared" ca="1" si="44"/>
        <v>178</v>
      </c>
      <c r="Q287" s="23">
        <f t="shared" ca="1" si="45"/>
        <v>138</v>
      </c>
      <c r="R287" s="23">
        <f t="shared" ca="1" si="46"/>
        <v>5</v>
      </c>
      <c r="S287" s="23" t="str">
        <f t="shared" ca="1" si="47"/>
        <v>78/FV, Verbena Lane, Junagadh, 362001</v>
      </c>
      <c r="T287" s="23">
        <f t="shared" ca="1" si="48"/>
        <v>80</v>
      </c>
      <c r="U287" s="33" t="str">
        <f t="shared" ca="1" si="49"/>
        <v>0</v>
      </c>
      <c r="V287" s="29">
        <f t="shared" ca="1" si="50"/>
        <v>400</v>
      </c>
      <c r="W287" s="29">
        <f t="shared" ca="1" si="51"/>
        <v>400</v>
      </c>
      <c r="X287" s="23" t="s">
        <v>713</v>
      </c>
      <c r="Y287" s="23"/>
      <c r="Z287" s="23"/>
      <c r="AA287" s="23"/>
      <c r="AB287" s="23"/>
      <c r="AC287" s="24"/>
    </row>
    <row r="288" spans="12:29" x14ac:dyDescent="0.35">
      <c r="L288" s="21">
        <v>285</v>
      </c>
      <c r="M288" s="22">
        <v>44927</v>
      </c>
      <c r="N288" s="23"/>
      <c r="O288" s="23">
        <f t="shared" ca="1" si="43"/>
        <v>12</v>
      </c>
      <c r="P288" s="23">
        <f t="shared" ca="1" si="44"/>
        <v>73</v>
      </c>
      <c r="Q288" s="23">
        <f t="shared" ca="1" si="45"/>
        <v>134</v>
      </c>
      <c r="R288" s="23">
        <f t="shared" ca="1" si="46"/>
        <v>6</v>
      </c>
      <c r="S288" s="23" t="str">
        <f t="shared" ca="1" si="47"/>
        <v>89/BU, Utopia Street, Palakkad, 678001</v>
      </c>
      <c r="T288" s="23">
        <f t="shared" ca="1" si="48"/>
        <v>150</v>
      </c>
      <c r="U288" s="33" t="str">
        <f t="shared" ca="1" si="49"/>
        <v>10%</v>
      </c>
      <c r="V288" s="29">
        <f t="shared" ca="1" si="50"/>
        <v>900</v>
      </c>
      <c r="W288" s="29">
        <f t="shared" ca="1" si="51"/>
        <v>810</v>
      </c>
      <c r="X288" s="23" t="s">
        <v>713</v>
      </c>
      <c r="Y288" s="23"/>
      <c r="Z288" s="23"/>
      <c r="AA288" s="23"/>
      <c r="AB288" s="23"/>
      <c r="AC288" s="24"/>
    </row>
    <row r="289" spans="12:29" x14ac:dyDescent="0.35">
      <c r="L289" s="21">
        <v>286</v>
      </c>
      <c r="M289" s="22">
        <v>44927</v>
      </c>
      <c r="N289" s="23"/>
      <c r="O289" s="23">
        <f t="shared" ca="1" si="43"/>
        <v>19</v>
      </c>
      <c r="P289" s="23">
        <f t="shared" ca="1" si="44"/>
        <v>184</v>
      </c>
      <c r="Q289" s="23">
        <f t="shared" ca="1" si="45"/>
        <v>161</v>
      </c>
      <c r="R289" s="23">
        <f t="shared" ca="1" si="46"/>
        <v>5</v>
      </c>
      <c r="S289" s="23" t="str">
        <f t="shared" ca="1" si="47"/>
        <v>78/GB, Bluebell Lane, Kharagpur, 721301</v>
      </c>
      <c r="T289" s="23">
        <f t="shared" ca="1" si="48"/>
        <v>150</v>
      </c>
      <c r="U289" s="33" t="str">
        <f t="shared" ca="1" si="49"/>
        <v>10%</v>
      </c>
      <c r="V289" s="29">
        <f t="shared" ca="1" si="50"/>
        <v>750</v>
      </c>
      <c r="W289" s="29">
        <f t="shared" ca="1" si="51"/>
        <v>675</v>
      </c>
      <c r="X289" s="23" t="s">
        <v>713</v>
      </c>
      <c r="Y289" s="23"/>
      <c r="Z289" s="23"/>
      <c r="AA289" s="23"/>
      <c r="AB289" s="23"/>
      <c r="AC289" s="24"/>
    </row>
    <row r="290" spans="12:29" x14ac:dyDescent="0.35">
      <c r="L290" s="21">
        <v>287</v>
      </c>
      <c r="M290" s="22">
        <v>44927</v>
      </c>
      <c r="N290" s="23"/>
      <c r="O290" s="23">
        <f t="shared" ca="1" si="43"/>
        <v>50</v>
      </c>
      <c r="P290" s="23">
        <f t="shared" ca="1" si="44"/>
        <v>55</v>
      </c>
      <c r="Q290" s="23">
        <f t="shared" ca="1" si="45"/>
        <v>136</v>
      </c>
      <c r="R290" s="23">
        <f t="shared" ca="1" si="46"/>
        <v>3</v>
      </c>
      <c r="S290" s="23" t="str">
        <f t="shared" ca="1" si="47"/>
        <v>34/BC, Chrysanthemum Road, Guntur, 522001</v>
      </c>
      <c r="T290" s="23">
        <f t="shared" ca="1" si="48"/>
        <v>40</v>
      </c>
      <c r="U290" s="33" t="str">
        <f t="shared" ca="1" si="49"/>
        <v>0</v>
      </c>
      <c r="V290" s="29">
        <f t="shared" ca="1" si="50"/>
        <v>120</v>
      </c>
      <c r="W290" s="29">
        <f t="shared" ca="1" si="51"/>
        <v>120</v>
      </c>
      <c r="X290" s="23" t="s">
        <v>714</v>
      </c>
      <c r="Y290" s="23"/>
      <c r="Z290" s="23"/>
      <c r="AA290" s="23"/>
      <c r="AB290" s="23"/>
      <c r="AC290" s="24"/>
    </row>
    <row r="291" spans="12:29" x14ac:dyDescent="0.35">
      <c r="L291" s="21">
        <v>288</v>
      </c>
      <c r="M291" s="22">
        <v>44927</v>
      </c>
      <c r="N291" s="23"/>
      <c r="O291" s="23">
        <f t="shared" ca="1" si="43"/>
        <v>24</v>
      </c>
      <c r="P291" s="23">
        <f t="shared" ca="1" si="44"/>
        <v>147</v>
      </c>
      <c r="Q291" s="23">
        <f t="shared" ca="1" si="45"/>
        <v>157</v>
      </c>
      <c r="R291" s="23">
        <f t="shared" ca="1" si="46"/>
        <v>3</v>
      </c>
      <c r="S291" s="23" t="str">
        <f t="shared" ca="1" si="47"/>
        <v>45/EQ, Quince Lane, Gadag, 582101</v>
      </c>
      <c r="T291" s="23">
        <f t="shared" ca="1" si="48"/>
        <v>190</v>
      </c>
      <c r="U291" s="33" t="str">
        <f t="shared" ca="1" si="49"/>
        <v>10%</v>
      </c>
      <c r="V291" s="29">
        <f t="shared" ca="1" si="50"/>
        <v>570</v>
      </c>
      <c r="W291" s="29">
        <f t="shared" ca="1" si="51"/>
        <v>513</v>
      </c>
      <c r="X291" s="23" t="s">
        <v>714</v>
      </c>
      <c r="Y291" s="23"/>
      <c r="Z291" s="23"/>
      <c r="AA291" s="23"/>
      <c r="AB291" s="23"/>
      <c r="AC291" s="24"/>
    </row>
    <row r="292" spans="12:29" x14ac:dyDescent="0.35">
      <c r="L292" s="21">
        <v>289</v>
      </c>
      <c r="M292" s="22">
        <v>44927</v>
      </c>
      <c r="N292" s="23"/>
      <c r="O292" s="23">
        <f t="shared" ca="1" si="43"/>
        <v>85</v>
      </c>
      <c r="P292" s="23">
        <f t="shared" ca="1" si="44"/>
        <v>183</v>
      </c>
      <c r="Q292" s="23">
        <f t="shared" ca="1" si="45"/>
        <v>132</v>
      </c>
      <c r="R292" s="23">
        <f t="shared" ca="1" si="46"/>
        <v>2</v>
      </c>
      <c r="S292" s="23" t="str">
        <f t="shared" ca="1" si="47"/>
        <v>34/GA, Azalea Street, Kannur, 670001</v>
      </c>
      <c r="T292" s="23">
        <f t="shared" ca="1" si="48"/>
        <v>40</v>
      </c>
      <c r="U292" s="33" t="str">
        <f t="shared" ca="1" si="49"/>
        <v>0</v>
      </c>
      <c r="V292" s="29">
        <f t="shared" ca="1" si="50"/>
        <v>80</v>
      </c>
      <c r="W292" s="29">
        <f t="shared" ca="1" si="51"/>
        <v>80</v>
      </c>
      <c r="X292" s="23" t="s">
        <v>714</v>
      </c>
      <c r="Y292" s="23"/>
      <c r="Z292" s="23"/>
      <c r="AA292" s="23"/>
      <c r="AB292" s="23"/>
      <c r="AC292" s="24"/>
    </row>
    <row r="293" spans="12:29" x14ac:dyDescent="0.35">
      <c r="L293" s="21">
        <v>290</v>
      </c>
      <c r="M293" s="22">
        <v>44927</v>
      </c>
      <c r="N293" s="23"/>
      <c r="O293" s="23">
        <f t="shared" ca="1" si="43"/>
        <v>39</v>
      </c>
      <c r="P293" s="23">
        <f t="shared" ca="1" si="44"/>
        <v>22</v>
      </c>
      <c r="Q293" s="23">
        <f t="shared" ca="1" si="45"/>
        <v>120</v>
      </c>
      <c r="R293" s="23">
        <f t="shared" ca="1" si="46"/>
        <v>10</v>
      </c>
      <c r="S293" s="23" t="str">
        <f t="shared" ca="1" si="47"/>
        <v>67/V, Violet Street, Varanasi, 221001</v>
      </c>
      <c r="T293" s="23">
        <f t="shared" ca="1" si="48"/>
        <v>250</v>
      </c>
      <c r="U293" s="33" t="str">
        <f t="shared" ca="1" si="49"/>
        <v>20%</v>
      </c>
      <c r="V293" s="29">
        <f t="shared" ca="1" si="50"/>
        <v>2500</v>
      </c>
      <c r="W293" s="29">
        <f t="shared" ca="1" si="51"/>
        <v>2000</v>
      </c>
      <c r="X293" s="23" t="s">
        <v>714</v>
      </c>
      <c r="Y293" s="23"/>
      <c r="Z293" s="23"/>
      <c r="AA293" s="23"/>
      <c r="AB293" s="23"/>
      <c r="AC293" s="24"/>
    </row>
    <row r="294" spans="12:29" x14ac:dyDescent="0.35">
      <c r="L294" s="21">
        <v>291</v>
      </c>
      <c r="M294" s="22">
        <v>44927</v>
      </c>
      <c r="N294" s="23"/>
      <c r="O294" s="23">
        <f t="shared" ca="1" si="43"/>
        <v>78</v>
      </c>
      <c r="P294" s="23">
        <f t="shared" ca="1" si="44"/>
        <v>181</v>
      </c>
      <c r="Q294" s="23">
        <f t="shared" ca="1" si="45"/>
        <v>165</v>
      </c>
      <c r="R294" s="23">
        <f t="shared" ca="1" si="46"/>
        <v>2</v>
      </c>
      <c r="S294" s="23" t="str">
        <f t="shared" ca="1" si="47"/>
        <v>23/FY, Yarrow Road, Kalyan-Dombivli, 421301</v>
      </c>
      <c r="T294" s="23">
        <f t="shared" ca="1" si="48"/>
        <v>90</v>
      </c>
      <c r="U294" s="33" t="str">
        <f t="shared" ca="1" si="49"/>
        <v>0</v>
      </c>
      <c r="V294" s="29">
        <f t="shared" ca="1" si="50"/>
        <v>180</v>
      </c>
      <c r="W294" s="29">
        <f t="shared" ca="1" si="51"/>
        <v>180</v>
      </c>
      <c r="X294" s="23" t="s">
        <v>714</v>
      </c>
      <c r="Y294" s="23"/>
      <c r="Z294" s="23"/>
      <c r="AA294" s="23"/>
      <c r="AB294" s="23"/>
      <c r="AC294" s="24"/>
    </row>
    <row r="295" spans="12:29" x14ac:dyDescent="0.35">
      <c r="L295" s="21">
        <v>292</v>
      </c>
      <c r="M295" s="22">
        <v>44927</v>
      </c>
      <c r="N295" s="23"/>
      <c r="O295" s="23">
        <f t="shared" ca="1" si="43"/>
        <v>82</v>
      </c>
      <c r="P295" s="23">
        <f t="shared" ca="1" si="44"/>
        <v>178</v>
      </c>
      <c r="Q295" s="23">
        <f t="shared" ca="1" si="45"/>
        <v>133</v>
      </c>
      <c r="R295" s="23">
        <f t="shared" ca="1" si="46"/>
        <v>1</v>
      </c>
      <c r="S295" s="23" t="str">
        <f t="shared" ca="1" si="47"/>
        <v>78/FV, Verbena Lane, Junagadh, 362001</v>
      </c>
      <c r="T295" s="23">
        <f t="shared" ca="1" si="48"/>
        <v>40</v>
      </c>
      <c r="U295" s="33" t="str">
        <f t="shared" ca="1" si="49"/>
        <v>0</v>
      </c>
      <c r="V295" s="29">
        <f t="shared" ca="1" si="50"/>
        <v>40</v>
      </c>
      <c r="W295" s="29">
        <f t="shared" ca="1" si="51"/>
        <v>40</v>
      </c>
      <c r="X295" s="23" t="s">
        <v>714</v>
      </c>
      <c r="Y295" s="23"/>
      <c r="Z295" s="23"/>
      <c r="AA295" s="23"/>
      <c r="AB295" s="23"/>
      <c r="AC295" s="24"/>
    </row>
    <row r="296" spans="12:29" x14ac:dyDescent="0.35">
      <c r="L296" s="21">
        <v>293</v>
      </c>
      <c r="M296" s="22">
        <v>44927</v>
      </c>
      <c r="N296" s="23"/>
      <c r="O296" s="23">
        <f t="shared" ca="1" si="43"/>
        <v>16</v>
      </c>
      <c r="P296" s="23">
        <f t="shared" ca="1" si="44"/>
        <v>80</v>
      </c>
      <c r="Q296" s="23">
        <f t="shared" ca="1" si="45"/>
        <v>107</v>
      </c>
      <c r="R296" s="23">
        <f t="shared" ca="1" si="46"/>
        <v>10</v>
      </c>
      <c r="S296" s="23" t="str">
        <f t="shared" ca="1" si="47"/>
        <v>78/CB, Bluebell Avenue, Rewari, 123401</v>
      </c>
      <c r="T296" s="23">
        <f t="shared" ca="1" si="48"/>
        <v>180</v>
      </c>
      <c r="U296" s="33" t="str">
        <f t="shared" ca="1" si="49"/>
        <v>10%</v>
      </c>
      <c r="V296" s="29">
        <f t="shared" ca="1" si="50"/>
        <v>1800</v>
      </c>
      <c r="W296" s="29">
        <f t="shared" ca="1" si="51"/>
        <v>1620</v>
      </c>
      <c r="X296" s="23" t="s">
        <v>714</v>
      </c>
      <c r="Y296" s="23"/>
      <c r="Z296" s="23"/>
      <c r="AA296" s="23"/>
      <c r="AB296" s="23"/>
      <c r="AC296" s="24"/>
    </row>
    <row r="297" spans="12:29" x14ac:dyDescent="0.35">
      <c r="L297" s="21">
        <v>294</v>
      </c>
      <c r="M297" s="22">
        <v>44927</v>
      </c>
      <c r="N297" s="23"/>
      <c r="O297" s="23">
        <f t="shared" ca="1" si="43"/>
        <v>31</v>
      </c>
      <c r="P297" s="23">
        <f t="shared" ca="1" si="44"/>
        <v>132</v>
      </c>
      <c r="Q297" s="23">
        <f t="shared" ca="1" si="45"/>
        <v>139</v>
      </c>
      <c r="R297" s="23">
        <f t="shared" ca="1" si="46"/>
        <v>5</v>
      </c>
      <c r="S297" s="23" t="str">
        <f t="shared" ca="1" si="47"/>
        <v>56/EB, Bluebell Lane, Chandannagar, 712136</v>
      </c>
      <c r="T297" s="23">
        <f t="shared" ca="1" si="48"/>
        <v>190</v>
      </c>
      <c r="U297" s="33" t="str">
        <f t="shared" ca="1" si="49"/>
        <v>10%</v>
      </c>
      <c r="V297" s="29">
        <f t="shared" ca="1" si="50"/>
        <v>950</v>
      </c>
      <c r="W297" s="29">
        <f t="shared" ca="1" si="51"/>
        <v>855</v>
      </c>
      <c r="X297" s="23" t="s">
        <v>714</v>
      </c>
      <c r="Y297" s="23"/>
      <c r="Z297" s="23"/>
      <c r="AA297" s="23"/>
      <c r="AB297" s="23"/>
      <c r="AC297" s="24"/>
    </row>
    <row r="298" spans="12:29" x14ac:dyDescent="0.35">
      <c r="L298" s="21">
        <v>295</v>
      </c>
      <c r="M298" s="22">
        <v>44927</v>
      </c>
      <c r="N298" s="23"/>
      <c r="O298" s="23">
        <f t="shared" ca="1" si="43"/>
        <v>25</v>
      </c>
      <c r="P298" s="23">
        <f t="shared" ca="1" si="44"/>
        <v>120</v>
      </c>
      <c r="Q298" s="23">
        <f t="shared" ca="1" si="45"/>
        <v>142</v>
      </c>
      <c r="R298" s="23">
        <f t="shared" ca="1" si="46"/>
        <v>8</v>
      </c>
      <c r="S298" s="23" t="str">
        <f t="shared" ca="1" si="47"/>
        <v>78/DP, Petunia Lane, Baharampur, 742101</v>
      </c>
      <c r="T298" s="23">
        <f t="shared" ca="1" si="48"/>
        <v>240</v>
      </c>
      <c r="U298" s="33" t="str">
        <f t="shared" ca="1" si="49"/>
        <v>20%</v>
      </c>
      <c r="V298" s="29">
        <f t="shared" ca="1" si="50"/>
        <v>1920</v>
      </c>
      <c r="W298" s="29">
        <f t="shared" ca="1" si="51"/>
        <v>1536</v>
      </c>
      <c r="X298" s="23" t="s">
        <v>714</v>
      </c>
      <c r="Y298" s="23"/>
      <c r="Z298" s="23"/>
      <c r="AA298" s="23"/>
      <c r="AB298" s="23"/>
      <c r="AC298" s="24"/>
    </row>
    <row r="299" spans="12:29" x14ac:dyDescent="0.35">
      <c r="L299" s="21">
        <v>296</v>
      </c>
      <c r="M299" s="22">
        <v>44927</v>
      </c>
      <c r="N299" s="23"/>
      <c r="O299" s="23">
        <f t="shared" ca="1" si="43"/>
        <v>47</v>
      </c>
      <c r="P299" s="23">
        <f t="shared" ca="1" si="44"/>
        <v>57</v>
      </c>
      <c r="Q299" s="23">
        <f t="shared" ca="1" si="45"/>
        <v>133</v>
      </c>
      <c r="R299" s="23">
        <f t="shared" ca="1" si="46"/>
        <v>5</v>
      </c>
      <c r="S299" s="23" t="str">
        <f t="shared" ca="1" si="47"/>
        <v>89/BE, Ebony Lane, Jalandhar, 144001</v>
      </c>
      <c r="T299" s="23">
        <f t="shared" ca="1" si="48"/>
        <v>30</v>
      </c>
      <c r="U299" s="33" t="str">
        <f t="shared" ca="1" si="49"/>
        <v>0</v>
      </c>
      <c r="V299" s="29">
        <f t="shared" ca="1" si="50"/>
        <v>150</v>
      </c>
      <c r="W299" s="29">
        <f t="shared" ca="1" si="51"/>
        <v>150</v>
      </c>
      <c r="X299" s="23" t="s">
        <v>714</v>
      </c>
      <c r="Y299" s="23"/>
      <c r="Z299" s="23"/>
      <c r="AA299" s="23"/>
      <c r="AB299" s="23"/>
      <c r="AC299" s="24"/>
    </row>
    <row r="300" spans="12:29" x14ac:dyDescent="0.35">
      <c r="L300" s="21">
        <v>297</v>
      </c>
      <c r="M300" s="22">
        <v>44927</v>
      </c>
      <c r="N300" s="23"/>
      <c r="O300" s="23">
        <f t="shared" ca="1" si="43"/>
        <v>44</v>
      </c>
      <c r="P300" s="23">
        <f t="shared" ca="1" si="44"/>
        <v>168</v>
      </c>
      <c r="Q300" s="23">
        <f t="shared" ca="1" si="45"/>
        <v>159</v>
      </c>
      <c r="R300" s="23">
        <f t="shared" ca="1" si="46"/>
        <v>8</v>
      </c>
      <c r="S300" s="23" t="str">
        <f t="shared" ca="1" si="47"/>
        <v>78/FL, Lily Road, Jagdalpur, 494001</v>
      </c>
      <c r="T300" s="23">
        <f t="shared" ca="1" si="48"/>
        <v>40</v>
      </c>
      <c r="U300" s="33" t="str">
        <f t="shared" ca="1" si="49"/>
        <v>0</v>
      </c>
      <c r="V300" s="29">
        <f t="shared" ca="1" si="50"/>
        <v>320</v>
      </c>
      <c r="W300" s="29">
        <f t="shared" ca="1" si="51"/>
        <v>320</v>
      </c>
      <c r="X300" s="23" t="s">
        <v>714</v>
      </c>
      <c r="Y300" s="23"/>
      <c r="Z300" s="23"/>
      <c r="AA300" s="23"/>
      <c r="AB300" s="23"/>
      <c r="AC300" s="24"/>
    </row>
    <row r="301" spans="12:29" x14ac:dyDescent="0.35">
      <c r="L301" s="21">
        <v>298</v>
      </c>
      <c r="M301" s="22">
        <v>44927</v>
      </c>
      <c r="N301" s="23"/>
      <c r="O301" s="23">
        <f t="shared" ca="1" si="43"/>
        <v>35</v>
      </c>
      <c r="P301" s="23">
        <f t="shared" ca="1" si="44"/>
        <v>169</v>
      </c>
      <c r="Q301" s="23">
        <f t="shared" ca="1" si="45"/>
        <v>116</v>
      </c>
      <c r="R301" s="23">
        <f t="shared" ca="1" si="46"/>
        <v>7</v>
      </c>
      <c r="S301" s="23" t="str">
        <f t="shared" ca="1" si="47"/>
        <v>89/FM, Magnolia Avenue, Jalgaon, 425001</v>
      </c>
      <c r="T301" s="23">
        <f t="shared" ca="1" si="48"/>
        <v>240</v>
      </c>
      <c r="U301" s="33" t="str">
        <f t="shared" ca="1" si="49"/>
        <v>20%</v>
      </c>
      <c r="V301" s="29">
        <f t="shared" ca="1" si="50"/>
        <v>1680</v>
      </c>
      <c r="W301" s="29">
        <f t="shared" ca="1" si="51"/>
        <v>1344</v>
      </c>
      <c r="X301" s="23" t="s">
        <v>714</v>
      </c>
      <c r="Y301" s="23"/>
      <c r="Z301" s="23"/>
      <c r="AA301" s="23"/>
      <c r="AB301" s="23"/>
      <c r="AC301" s="24"/>
    </row>
    <row r="302" spans="12:29" x14ac:dyDescent="0.35">
      <c r="L302" s="21">
        <v>299</v>
      </c>
      <c r="M302" s="22">
        <v>44927</v>
      </c>
      <c r="N302" s="23"/>
      <c r="O302" s="23">
        <f t="shared" ca="1" si="43"/>
        <v>16</v>
      </c>
      <c r="P302" s="23">
        <f t="shared" ca="1" si="44"/>
        <v>147</v>
      </c>
      <c r="Q302" s="23">
        <f t="shared" ca="1" si="45"/>
        <v>124</v>
      </c>
      <c r="R302" s="23">
        <f t="shared" ca="1" si="46"/>
        <v>5</v>
      </c>
      <c r="S302" s="23" t="str">
        <f t="shared" ca="1" si="47"/>
        <v>45/EQ, Quince Lane, Gadag, 582101</v>
      </c>
      <c r="T302" s="23">
        <f t="shared" ca="1" si="48"/>
        <v>180</v>
      </c>
      <c r="U302" s="33" t="str">
        <f t="shared" ca="1" si="49"/>
        <v>10%</v>
      </c>
      <c r="V302" s="29">
        <f t="shared" ca="1" si="50"/>
        <v>900</v>
      </c>
      <c r="W302" s="29">
        <f t="shared" ca="1" si="51"/>
        <v>810</v>
      </c>
      <c r="X302" s="23" t="s">
        <v>714</v>
      </c>
      <c r="Y302" s="23"/>
      <c r="Z302" s="23"/>
      <c r="AA302" s="23"/>
      <c r="AB302" s="23"/>
      <c r="AC302" s="24"/>
    </row>
    <row r="303" spans="12:29" ht="15" thickBot="1" x14ac:dyDescent="0.4">
      <c r="L303" s="25">
        <v>300</v>
      </c>
      <c r="M303" s="26">
        <v>44927</v>
      </c>
      <c r="N303" s="27"/>
      <c r="O303" s="27">
        <f t="shared" ca="1" si="43"/>
        <v>19</v>
      </c>
      <c r="P303" s="27">
        <f t="shared" ca="1" si="44"/>
        <v>12</v>
      </c>
      <c r="Q303" s="27">
        <f t="shared" ca="1" si="45"/>
        <v>160</v>
      </c>
      <c r="R303" s="27">
        <f t="shared" ca="1" si="46"/>
        <v>2</v>
      </c>
      <c r="S303" s="27" t="str">
        <f t="shared" ca="1" si="47"/>
        <v>56/L, Lavender Lane, Indore, 452001</v>
      </c>
      <c r="T303" s="27">
        <f t="shared" ca="1" si="48"/>
        <v>150</v>
      </c>
      <c r="U303" s="35" t="str">
        <f t="shared" ca="1" si="49"/>
        <v>10%</v>
      </c>
      <c r="V303" s="36">
        <f t="shared" ca="1" si="50"/>
        <v>300</v>
      </c>
      <c r="W303" s="36">
        <f t="shared" ca="1" si="51"/>
        <v>270</v>
      </c>
      <c r="X303" s="23" t="s">
        <v>714</v>
      </c>
      <c r="Y303" s="27"/>
      <c r="Z303" s="27"/>
      <c r="AA303" s="27"/>
      <c r="AB303" s="27"/>
      <c r="AC303" s="28"/>
    </row>
  </sheetData>
  <conditionalFormatting sqref="B4:E106">
    <cfRule type="colorScale" priority="1">
      <colorScale>
        <cfvo type="num" val="&quot;&gt;150&quot;"/>
        <cfvo type="num" val="&quot;&gt;150&quot;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BFC4-7290-435C-8ACF-6B49DA806222}">
  <dimension ref="D2:I17"/>
  <sheetViews>
    <sheetView workbookViewId="0">
      <selection activeCell="I3" sqref="I3:I17"/>
    </sheetView>
  </sheetViews>
  <sheetFormatPr defaultRowHeight="14.5" x14ac:dyDescent="0.35"/>
  <cols>
    <col min="6" max="6" width="9.453125" bestFit="1" customWidth="1"/>
  </cols>
  <sheetData>
    <row r="2" spans="4:9" x14ac:dyDescent="0.35">
      <c r="D2" s="17" t="s">
        <v>678</v>
      </c>
      <c r="E2" s="17" t="s">
        <v>680</v>
      </c>
      <c r="F2" s="17" t="s">
        <v>679</v>
      </c>
      <c r="H2" s="17" t="s">
        <v>678</v>
      </c>
      <c r="I2" s="17" t="s">
        <v>291</v>
      </c>
    </row>
    <row r="3" spans="4:9" x14ac:dyDescent="0.35">
      <c r="D3" s="17">
        <v>1</v>
      </c>
      <c r="E3" s="17" t="s">
        <v>681</v>
      </c>
      <c r="F3" s="17" t="s">
        <v>696</v>
      </c>
      <c r="H3" s="17">
        <f ca="1">RANDBETWEEN(1,15)</f>
        <v>5</v>
      </c>
      <c r="I3" s="17" t="str">
        <f ca="1">VLOOKUP($H3,$D$2:$F$17,3,0)</f>
        <v>asfbe'</v>
      </c>
    </row>
    <row r="4" spans="4:9" x14ac:dyDescent="0.35">
      <c r="D4" s="17">
        <f>D3+1</f>
        <v>2</v>
      </c>
      <c r="E4" s="17" t="s">
        <v>682</v>
      </c>
      <c r="F4" s="17" t="s">
        <v>697</v>
      </c>
      <c r="H4" s="17">
        <f t="shared" ref="H4:H16" ca="1" si="0">RANDBETWEEN(1,15)</f>
        <v>4</v>
      </c>
      <c r="I4" s="17" t="str">
        <f t="shared" ref="I4:I17" ca="1" si="1">VLOOKUP($H4,$D$2:$F$17,3,0)</f>
        <v>asefrn</v>
      </c>
    </row>
    <row r="5" spans="4:9" x14ac:dyDescent="0.35">
      <c r="D5" s="17">
        <f t="shared" ref="D5:D17" si="2">D4+1</f>
        <v>3</v>
      </c>
      <c r="E5" s="17" t="s">
        <v>683</v>
      </c>
      <c r="F5" s="17" t="s">
        <v>698</v>
      </c>
      <c r="H5" s="17">
        <f t="shared" ca="1" si="0"/>
        <v>4</v>
      </c>
      <c r="I5" s="17" t="str">
        <f t="shared" ca="1" si="1"/>
        <v>asefrn</v>
      </c>
    </row>
    <row r="6" spans="4:9" x14ac:dyDescent="0.35">
      <c r="D6" s="17">
        <f t="shared" si="2"/>
        <v>4</v>
      </c>
      <c r="E6" s="17" t="s">
        <v>684</v>
      </c>
      <c r="F6" s="17" t="s">
        <v>699</v>
      </c>
      <c r="H6" s="17">
        <f t="shared" ca="1" si="0"/>
        <v>8</v>
      </c>
      <c r="I6" s="17" t="str">
        <f t="shared" ca="1" si="1"/>
        <v>vfr</v>
      </c>
    </row>
    <row r="7" spans="4:9" x14ac:dyDescent="0.35">
      <c r="D7" s="17">
        <f t="shared" si="2"/>
        <v>5</v>
      </c>
      <c r="E7" s="17" t="s">
        <v>685</v>
      </c>
      <c r="F7" s="17" t="s">
        <v>700</v>
      </c>
      <c r="H7" s="17">
        <f t="shared" ca="1" si="0"/>
        <v>3</v>
      </c>
      <c r="I7" s="17" t="str">
        <f t="shared" ca="1" si="1"/>
        <v>sdu</v>
      </c>
    </row>
    <row r="8" spans="4:9" x14ac:dyDescent="0.35">
      <c r="D8" s="17">
        <f t="shared" si="2"/>
        <v>6</v>
      </c>
      <c r="E8" s="17" t="s">
        <v>686</v>
      </c>
      <c r="F8" s="17" t="s">
        <v>701</v>
      </c>
      <c r="H8" s="17">
        <f t="shared" ca="1" si="0"/>
        <v>6</v>
      </c>
      <c r="I8" s="17" t="str">
        <f t="shared" ca="1" si="1"/>
        <v>adefrh'a</v>
      </c>
    </row>
    <row r="9" spans="4:9" x14ac:dyDescent="0.35">
      <c r="D9" s="17">
        <f t="shared" si="2"/>
        <v>7</v>
      </c>
      <c r="E9" s="17" t="s">
        <v>687</v>
      </c>
      <c r="F9" s="17" t="s">
        <v>702</v>
      </c>
      <c r="H9" s="17">
        <f t="shared" ca="1" si="0"/>
        <v>4</v>
      </c>
      <c r="I9" s="17" t="str">
        <f t="shared" ca="1" si="1"/>
        <v>asefrn</v>
      </c>
    </row>
    <row r="10" spans="4:9" x14ac:dyDescent="0.35">
      <c r="D10" s="17">
        <f t="shared" si="2"/>
        <v>8</v>
      </c>
      <c r="E10" s="17" t="s">
        <v>688</v>
      </c>
      <c r="F10" s="17" t="s">
        <v>703</v>
      </c>
      <c r="H10" s="17">
        <f t="shared" ca="1" si="0"/>
        <v>6</v>
      </c>
      <c r="I10" s="17" t="str">
        <f t="shared" ca="1" si="1"/>
        <v>adefrh'a</v>
      </c>
    </row>
    <row r="11" spans="4:9" x14ac:dyDescent="0.35">
      <c r="D11" s="17">
        <f t="shared" si="2"/>
        <v>9</v>
      </c>
      <c r="E11" s="17" t="s">
        <v>689</v>
      </c>
      <c r="F11" s="17" t="s">
        <v>704</v>
      </c>
      <c r="H11" s="17">
        <f t="shared" ca="1" si="0"/>
        <v>11</v>
      </c>
      <c r="I11" s="17" t="str">
        <f t="shared" ca="1" si="1"/>
        <v>vdfs</v>
      </c>
    </row>
    <row r="12" spans="4:9" x14ac:dyDescent="0.35">
      <c r="D12" s="17">
        <f t="shared" si="2"/>
        <v>10</v>
      </c>
      <c r="E12" s="17" t="s">
        <v>690</v>
      </c>
      <c r="F12" s="17" t="s">
        <v>705</v>
      </c>
      <c r="H12" s="17">
        <f t="shared" ca="1" si="0"/>
        <v>9</v>
      </c>
      <c r="I12" s="17" t="str">
        <f t="shared" ca="1" si="1"/>
        <v>cvds</v>
      </c>
    </row>
    <row r="13" spans="4:9" x14ac:dyDescent="0.35">
      <c r="D13" s="17">
        <f t="shared" si="2"/>
        <v>11</v>
      </c>
      <c r="E13" s="17" t="s">
        <v>691</v>
      </c>
      <c r="F13" s="17" t="s">
        <v>706</v>
      </c>
      <c r="H13" s="17">
        <f t="shared" ca="1" si="0"/>
        <v>3</v>
      </c>
      <c r="I13" s="17" t="str">
        <f t="shared" ca="1" si="1"/>
        <v>sdu</v>
      </c>
    </row>
    <row r="14" spans="4:9" x14ac:dyDescent="0.35">
      <c r="D14" s="17">
        <f t="shared" si="2"/>
        <v>12</v>
      </c>
      <c r="E14" s="17" t="s">
        <v>692</v>
      </c>
      <c r="F14" s="17" t="s">
        <v>707</v>
      </c>
      <c r="H14" s="17">
        <f t="shared" ca="1" si="0"/>
        <v>3</v>
      </c>
      <c r="I14" s="17" t="str">
        <f t="shared" ca="1" si="1"/>
        <v>sdu</v>
      </c>
    </row>
    <row r="15" spans="4:9" x14ac:dyDescent="0.35">
      <c r="D15" s="17">
        <f t="shared" si="2"/>
        <v>13</v>
      </c>
      <c r="E15" s="17" t="s">
        <v>693</v>
      </c>
      <c r="F15" s="17" t="s">
        <v>708</v>
      </c>
      <c r="H15" s="17">
        <f t="shared" ca="1" si="0"/>
        <v>14</v>
      </c>
      <c r="I15" s="17" t="str">
        <f t="shared" ca="1" si="1"/>
        <v>seg</v>
      </c>
    </row>
    <row r="16" spans="4:9" x14ac:dyDescent="0.35">
      <c r="D16" s="17">
        <f t="shared" si="2"/>
        <v>14</v>
      </c>
      <c r="E16" s="17" t="s">
        <v>694</v>
      </c>
      <c r="F16" s="17" t="s">
        <v>709</v>
      </c>
      <c r="H16" s="17">
        <f t="shared" ca="1" si="0"/>
        <v>1</v>
      </c>
      <c r="I16" s="17" t="str">
        <f t="shared" ca="1" si="1"/>
        <v>dfrhu</v>
      </c>
    </row>
    <row r="17" spans="4:9" x14ac:dyDescent="0.35">
      <c r="D17" s="17">
        <f t="shared" si="2"/>
        <v>15</v>
      </c>
      <c r="E17" s="17" t="s">
        <v>695</v>
      </c>
      <c r="F17" s="17" t="s">
        <v>710</v>
      </c>
      <c r="H17" s="17">
        <f ca="1">RANDBETWEEN(1,15)</f>
        <v>9</v>
      </c>
      <c r="I17" s="17" t="str">
        <f t="shared" ca="1" si="1"/>
        <v>cvds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OnFoodDl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 sharma</dc:creator>
  <cp:lastModifiedBy>aina sharma</cp:lastModifiedBy>
  <dcterms:created xsi:type="dcterms:W3CDTF">2024-03-05T06:25:45Z</dcterms:created>
  <dcterms:modified xsi:type="dcterms:W3CDTF">2024-03-11T06:47:55Z</dcterms:modified>
</cp:coreProperties>
</file>